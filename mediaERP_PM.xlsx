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Roadmap" sheetId="1" state="visible" r:id="rId1"/>
    <sheet name="Task Tracker" sheetId="2" state="visible" r:id="rId2"/>
    <sheet name="Suggestions &amp; Approv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1">
    <font>
      <name val="Calibri"/>
      <family val="2"/>
      <color theme="1"/>
      <sz val="11"/>
      <scheme val="minor"/>
    </font>
    <font>
      <name val="Arial"/>
      <b val="1"/>
      <color rgb="FFFFFFFF"/>
      <sz val="18"/>
    </font>
    <font>
      <name val="Arial"/>
      <color rgb="FFA0AEC0"/>
      <sz val="11"/>
    </font>
    <font>
      <name val="Arial"/>
      <b val="1"/>
      <color rgb="FFFFFFFF"/>
      <sz val="10"/>
    </font>
    <font>
      <name val="Arial"/>
      <b val="1"/>
      <color rgb="FF0F3460"/>
      <sz val="12"/>
    </font>
    <font>
      <name val="Arial"/>
      <b val="1"/>
      <color rgb="FF1E293B"/>
      <sz val="10"/>
    </font>
    <font>
      <name val="Arial"/>
      <color rgb="FF1E293B"/>
      <sz val="10"/>
    </font>
    <font>
      <name val="Arial"/>
      <b val="1"/>
      <color rgb="FF64748B"/>
      <sz val="9"/>
    </font>
    <font>
      <name val="Arial"/>
      <b val="1"/>
      <color rgb="FF0F3460"/>
      <sz val="10"/>
    </font>
    <font>
      <name val="Arial"/>
      <b val="1"/>
      <color rgb="FFFFFFFF"/>
      <sz val="11"/>
    </font>
    <font>
      <name val="Arial"/>
      <b val="1"/>
      <color rgb="FFFFFFFF"/>
      <sz val="9"/>
    </font>
    <font>
      <name val="Arial"/>
      <b val="1"/>
      <color rgb="FF22C55E"/>
      <sz val="10"/>
    </font>
    <font>
      <name val="Arial"/>
      <b val="1"/>
      <color rgb="FF3B82F6"/>
      <sz val="10"/>
    </font>
    <font>
      <name val="Arial"/>
      <b val="1"/>
      <color rgb="FF64748B"/>
      <sz val="10"/>
    </font>
    <font>
      <name val="Arial"/>
      <b val="1"/>
      <color rgb="FFFFFFFF"/>
      <sz val="16"/>
    </font>
    <font>
      <name val="Arial"/>
      <b val="1"/>
      <color rgb="FF94A3B8"/>
      <sz val="9"/>
    </font>
    <font>
      <name val="Arial"/>
      <color rgb="FF1E293B"/>
      <sz val="9"/>
    </font>
    <font>
      <name val="Arial"/>
      <b val="1"/>
      <color rgb="FF1E293B"/>
      <sz val="9"/>
    </font>
    <font>
      <name val="Arial"/>
      <color rgb="FF64748B"/>
      <sz val="9"/>
    </font>
    <font>
      <name val="Arial"/>
      <color rgb="FF6B7280"/>
      <sz val="10"/>
    </font>
    <font>
      <name val="Arial"/>
      <color rgb="FF94A3B8"/>
      <sz val="9"/>
    </font>
  </fonts>
  <fills count="16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E94560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1E3A5F"/>
      </patternFill>
    </fill>
    <fill>
      <patternFill patternType="solid">
        <fgColor rgb="FF0F3460"/>
      </patternFill>
    </fill>
    <fill>
      <patternFill patternType="solid">
        <fgColor rgb="FF16213E"/>
      </patternFill>
    </fill>
    <fill>
      <patternFill patternType="solid">
        <fgColor rgb="FFFFF7ED"/>
      </patternFill>
    </fill>
    <fill>
      <patternFill patternType="solid">
        <fgColor rgb="FFEFF6FF"/>
      </patternFill>
    </fill>
    <fill>
      <patternFill patternType="solid">
        <fgColor rgb="FFECFDF5"/>
      </patternFill>
    </fill>
    <fill>
      <patternFill patternType="solid">
        <fgColor rgb="FFFDF4FF"/>
      </patternFill>
    </fill>
    <fill>
      <patternFill patternType="solid">
        <fgColor rgb="FF8B5CF6"/>
      </patternFill>
    </fill>
    <fill>
      <patternFill patternType="solid">
        <fgColor rgb="FFF9FAFB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9" fontId="8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9" fontId="8" fillId="5" borderId="1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4" fillId="8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left" vertical="center"/>
    </xf>
    <xf numFmtId="0" fontId="17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left" vertical="center" wrapText="1"/>
    </xf>
    <xf numFmtId="164" fontId="16" fillId="9" borderId="1" applyAlignment="1" pivotButton="0" quotePrefix="0" xfId="0">
      <alignment horizontal="left" vertical="center"/>
    </xf>
    <xf numFmtId="0" fontId="18" fillId="9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left" vertical="center" wrapText="1"/>
    </xf>
    <xf numFmtId="164" fontId="16" fillId="10" borderId="1" applyAlignment="1" pivotButton="0" quotePrefix="0" xfId="0">
      <alignment horizontal="left" vertical="center"/>
    </xf>
    <xf numFmtId="0" fontId="18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left" vertical="center" wrapText="1"/>
    </xf>
    <xf numFmtId="164" fontId="16" fillId="11" borderId="1" applyAlignment="1" pivotButton="0" quotePrefix="0" xfId="0">
      <alignment horizontal="left" vertical="center"/>
    </xf>
    <xf numFmtId="0" fontId="18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left" vertical="center"/>
    </xf>
    <xf numFmtId="0" fontId="16" fillId="12" borderId="1" applyAlignment="1" pivotButton="0" quotePrefix="0" xfId="0">
      <alignment horizontal="left" vertical="center" wrapText="1"/>
    </xf>
    <xf numFmtId="164" fontId="16" fillId="12" borderId="1" applyAlignment="1" pivotButton="0" quotePrefix="0" xfId="0">
      <alignment horizontal="left" vertical="center"/>
    </xf>
    <xf numFmtId="0" fontId="18" fillId="12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14" fillId="13" borderId="0" applyAlignment="1" pivotButton="0" quotePrefix="0" xfId="0">
      <alignment horizontal="center" vertical="center"/>
    </xf>
    <xf numFmtId="0" fontId="19" fillId="14" borderId="0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20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left" vertical="center"/>
    </xf>
    <xf numFmtId="164" fontId="16" fillId="9" borderId="1" applyAlignment="1" pivotButton="0" quotePrefix="0" xfId="0">
      <alignment horizontal="left" vertical="center"/>
    </xf>
    <xf numFmtId="164" fontId="16" fillId="10" borderId="1" applyAlignment="1" pivotButton="0" quotePrefix="0" xfId="0">
      <alignment horizontal="left" vertical="center"/>
    </xf>
    <xf numFmtId="164" fontId="16" fillId="11" borderId="1" applyAlignment="1" pivotButton="0" quotePrefix="0" xfId="0">
      <alignment horizontal="left" vertical="center"/>
    </xf>
    <xf numFmtId="164" fontId="16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3460"/>
    <outlinePr summaryBelow="1" summaryRight="1"/>
    <pageSetUpPr/>
  </sheetPr>
  <dimension ref="A1:K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52" customWidth="1" min="3" max="3"/>
    <col width="13" customWidth="1" min="4" max="4"/>
    <col width="13" customWidth="1" min="5" max="5"/>
    <col width="13" customWidth="1" min="6" max="6"/>
    <col width="14" customWidth="1" min="7" max="7"/>
    <col width="15" customWidth="1" min="8" max="8"/>
    <col width="11" customWidth="1" min="9" max="9"/>
    <col width="28" customWidth="1" min="10" max="10"/>
    <col width="14" customWidth="1" min="11" max="11"/>
  </cols>
  <sheetData>
    <row r="1" ht="36" customHeight="1">
      <c r="A1" s="1" t="inlineStr">
        <is>
          <t xml:space="preserve">  mediaERP  --  PROJECT MANAGEMENT HUB </t>
        </is>
      </c>
    </row>
    <row r="2" ht="18" customHeight="1">
      <c r="A2" s="2" t="inlineStr">
        <is>
          <t>DELTA MEDIA ANALYTICS &amp; REPORTS  |  8 Phases - 67 Features  |  FastAPI - MongoDB - Next.js 15 - Claude AI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26" customHeight="1">
      <c r="A4" s="4" t="inlineStr">
        <is>
          <t>Wk</t>
        </is>
      </c>
      <c r="B4" s="4" t="inlineStr">
        <is>
          <t>Phase</t>
        </is>
      </c>
      <c r="C4" s="4" t="inlineStr">
        <is>
          <t>Deliverables</t>
        </is>
      </c>
      <c r="D4" s="4" t="inlineStr">
        <is>
          <t>Start Date</t>
        </is>
      </c>
      <c r="E4" s="4" t="inlineStr">
        <is>
          <t>End Date</t>
        </is>
      </c>
      <c r="F4" s="4" t="inlineStr">
        <is>
          <t>Done</t>
        </is>
      </c>
      <c r="G4" s="4" t="inlineStr">
        <is>
          <t>Priority</t>
        </is>
      </c>
      <c r="H4" s="4" t="inlineStr">
        <is>
          <t>Owner</t>
        </is>
      </c>
      <c r="I4" s="4" t="n">
        <v>1</v>
      </c>
      <c r="J4" s="4" t="inlineStr">
        <is>
          <t>Blockers / Notes</t>
        </is>
      </c>
      <c r="K4" s="4" t="inlineStr">
        <is>
          <t>Approved By</t>
        </is>
      </c>
    </row>
    <row r="5" ht="52" customHeight="1">
      <c r="A5" s="5" t="inlineStr">
        <is>
          <t>1</t>
        </is>
      </c>
      <c r="B5" s="6" t="inlineStr">
        <is>
          <t>Scaffold + Auth</t>
        </is>
      </c>
      <c r="C5" s="7" t="inlineStr">
        <is>
          <t>Mono-repo, FastAPI+Motor+CORS+health, JWT auth (register/login/refresh/me/logout), bcrypt, Next.js 15, Tailwind, shadcn/ui, DM Sans, axios.ts, animations.ts, Zustand, Login+Register pages, Route guard</t>
        </is>
      </c>
      <c r="D5" s="65" t="n">
        <v>46153</v>
      </c>
      <c r="E5" s="65" t="n">
        <v>46159</v>
      </c>
      <c r="F5" s="9" t="inlineStr">
        <is>
          <t>Not Started</t>
        </is>
      </c>
      <c r="G5" s="10" t="inlineStr">
        <is>
          <t>Critical</t>
        </is>
      </c>
      <c r="H5" s="10" t="inlineStr">
        <is>
          <t>Full Stack Dev</t>
        </is>
      </c>
      <c r="I5" s="11" t="n">
        <v>0</v>
      </c>
      <c r="J5" s="10" t="n"/>
      <c r="K5" s="10" t="n"/>
    </row>
    <row r="6" ht="52" customHeight="1">
      <c r="A6" s="12" t="inlineStr">
        <is>
          <t>2</t>
        </is>
      </c>
      <c r="B6" s="13" t="inlineStr">
        <is>
          <t>Connector System</t>
        </is>
      </c>
      <c r="C6" s="14" t="inlineStr">
        <is>
          <t>Connector CRUD + AES-256 token encryption, Google Ads OAuth2, GA4 OAuth2, Facebook Ads OAuth2, ConnectorGrid, ConnectorCard, AddConnectorModal, SyncStatusBadge, OAuthCallback</t>
        </is>
      </c>
      <c r="D6" s="66" t="n">
        <v>46160</v>
      </c>
      <c r="E6" s="66" t="n">
        <v>46166</v>
      </c>
      <c r="F6" s="16" t="inlineStr">
        <is>
          <t>Not Started</t>
        </is>
      </c>
      <c r="G6" s="17" t="inlineStr">
        <is>
          <t>Critical</t>
        </is>
      </c>
      <c r="H6" s="17" t="inlineStr">
        <is>
          <t>Full Stack Dev</t>
        </is>
      </c>
      <c r="I6" s="18" t="n">
        <v>0</v>
      </c>
      <c r="J6" s="17" t="n"/>
      <c r="K6" s="17" t="n"/>
    </row>
    <row r="7" ht="52" customHeight="1">
      <c r="A7" s="5" t="inlineStr">
        <is>
          <t>3</t>
        </is>
      </c>
      <c r="B7" s="6" t="inlineStr">
        <is>
          <t>Sync Pipeline</t>
        </is>
      </c>
      <c r="C7" s="7" t="inlineStr">
        <is>
          <t>Marketing data model + compound index, Celery+Redis+Beat, sync_connector task (retry x3), Google/GA4/Facebook fetch_data, LinkedIn OAuth+sync, TikTok OAuth+sync (5 platforms total), frontend live status</t>
        </is>
      </c>
      <c r="D7" s="65" t="n">
        <v>46167</v>
      </c>
      <c r="E7" s="65" t="n">
        <v>46173</v>
      </c>
      <c r="F7" s="9" t="inlineStr">
        <is>
          <t>Not Started</t>
        </is>
      </c>
      <c r="G7" s="10" t="inlineStr">
        <is>
          <t>High</t>
        </is>
      </c>
      <c r="H7" s="10" t="inlineStr">
        <is>
          <t>Backend Dev</t>
        </is>
      </c>
      <c r="I7" s="11" t="n">
        <v>0</v>
      </c>
      <c r="J7" s="10" t="n"/>
      <c r="K7" s="10" t="n"/>
    </row>
    <row r="8" ht="52" customHeight="1">
      <c r="A8" s="12" t="inlineStr">
        <is>
          <t>3-4</t>
        </is>
      </c>
      <c r="B8" s="13" t="inlineStr">
        <is>
          <t>Reports API + Charts</t>
        </is>
      </c>
      <c r="C8" s="14" t="inlineStr">
        <is>
          <t>GET /reports/overview (agg+delta), /campaigns (paginated), /trend (time-series), POST /custom, saved reports CRUD, CSV export, DataTable, Pagination, DateRangePicker, KpiCard, SpendTrendChart, PlatformDonut, CampaignBarChart, RoasGauge</t>
        </is>
      </c>
      <c r="D8" s="66" t="n">
        <v>46167</v>
      </c>
      <c r="E8" s="66" t="n">
        <v>46180</v>
      </c>
      <c r="F8" s="16" t="inlineStr">
        <is>
          <t>Not Started</t>
        </is>
      </c>
      <c r="G8" s="17" t="inlineStr">
        <is>
          <t>High</t>
        </is>
      </c>
      <c r="H8" s="17" t="inlineStr">
        <is>
          <t>Full Stack Dev</t>
        </is>
      </c>
      <c r="I8" s="18" t="n">
        <v>0</v>
      </c>
      <c r="J8" s="17" t="n"/>
      <c r="K8" s="17" t="n"/>
    </row>
    <row r="9" ht="52" customHeight="1">
      <c r="A9" s="5" t="inlineStr">
        <is>
          <t>4-5</t>
        </is>
      </c>
      <c r="B9" s="6" t="inlineStr">
        <is>
          <t>Dashboard UI Polish</t>
        </is>
      </c>
      <c r="C9" s="7" t="inlineStr">
        <is>
          <t>Sidebar+Header+uiStore, Overview page (KPIs+charts+campaigns), Campaigns page (DataTable+filters), MetricSelector+FilterPanel+ReportBuilder, Reports list+detail+CSV export</t>
        </is>
      </c>
      <c r="D9" s="65" t="n">
        <v>46174</v>
      </c>
      <c r="E9" s="65" t="n">
        <v>46187</v>
      </c>
      <c r="F9" s="9" t="inlineStr">
        <is>
          <t>Not Started</t>
        </is>
      </c>
      <c r="G9" s="10" t="inlineStr">
        <is>
          <t>High</t>
        </is>
      </c>
      <c r="H9" s="10" t="inlineStr">
        <is>
          <t>Frontend Dev</t>
        </is>
      </c>
      <c r="I9" s="11" t="n">
        <v>0</v>
      </c>
      <c r="J9" s="10" t="n"/>
      <c r="K9" s="10" t="n"/>
    </row>
    <row r="10" ht="52" customHeight="1">
      <c r="A10" s="12" t="inlineStr">
        <is>
          <t>5-6</t>
        </is>
      </c>
      <c r="B10" s="13" t="inlineStr">
        <is>
          <t>Claude AI Layer</t>
        </is>
      </c>
      <c r="C10" s="14" t="inlineStr">
        <is>
          <t>ai_service.py NL-&gt;pipeline-&gt;execute-&gt;explain, POST /ai/query + GET /ai/history, useAi.ts, AiQueryPanel + AiResultCard (Framer Motion reveal), ai/page.tsx</t>
        </is>
      </c>
      <c r="D10" s="66" t="n">
        <v>46181</v>
      </c>
      <c r="E10" s="66" t="n">
        <v>46194</v>
      </c>
      <c r="F10" s="16" t="inlineStr">
        <is>
          <t>Not Started</t>
        </is>
      </c>
      <c r="G10" s="17" t="inlineStr">
        <is>
          <t>Medium</t>
        </is>
      </c>
      <c r="H10" s="17" t="inlineStr">
        <is>
          <t>AI Dev</t>
        </is>
      </c>
      <c r="I10" s="18" t="n">
        <v>0</v>
      </c>
      <c r="J10" s="17" t="n"/>
      <c r="K10" s="17" t="n"/>
    </row>
    <row r="11" ht="52" customHeight="1">
      <c r="A11" s="5" t="inlineStr">
        <is>
          <t>6</t>
        </is>
      </c>
      <c r="B11" s="6" t="inlineStr">
        <is>
          <t>Settings + Notifications</t>
        </is>
      </c>
      <c r="C11" s="7" t="inlineStr">
        <is>
          <t>PUT /auth/me + /password, notifications model + emit on sync events, Settings page (profile/password/plan/API key tabs), NotificationBell (badge+dropdown+polling+Sonner)</t>
        </is>
      </c>
      <c r="D11" s="65" t="n">
        <v>46188</v>
      </c>
      <c r="E11" s="65" t="n">
        <v>46194</v>
      </c>
      <c r="F11" s="9" t="inlineStr">
        <is>
          <t>Not Started</t>
        </is>
      </c>
      <c r="G11" s="10" t="inlineStr">
        <is>
          <t>Medium</t>
        </is>
      </c>
      <c r="H11" s="10" t="inlineStr">
        <is>
          <t>Full Stack Dev</t>
        </is>
      </c>
      <c r="I11" s="11" t="n">
        <v>0</v>
      </c>
      <c r="J11" s="10" t="n"/>
      <c r="K11" s="10" t="n"/>
    </row>
    <row r="12" ht="52" customHeight="1">
      <c r="A12" s="12" t="inlineStr">
        <is>
          <t>7</t>
        </is>
      </c>
      <c r="B12" s="13" t="inlineStr">
        <is>
          <t>Deployment</t>
        </is>
      </c>
      <c r="C12" s="14" t="inlineStr">
        <is>
          <t>Docker Compose (6 services+healthchecks), backend Dockerfile (multi-stage), frontend Dockerfile (standalone), Railway (FastAPI+Celery), Vercel (Next.js), MongoDB Atlas M0, Upstash Redis, Sentry, docs</t>
        </is>
      </c>
      <c r="D12" s="66" t="n">
        <v>46195</v>
      </c>
      <c r="E12" s="66" t="n">
        <v>46201</v>
      </c>
      <c r="F12" s="16" t="inlineStr">
        <is>
          <t>Not Started</t>
        </is>
      </c>
      <c r="G12" s="17" t="inlineStr">
        <is>
          <t>Medium</t>
        </is>
      </c>
      <c r="H12" s="17" t="inlineStr">
        <is>
          <t>DevOps</t>
        </is>
      </c>
      <c r="I12" s="18" t="n">
        <v>0</v>
      </c>
      <c r="J12" s="17" t="n"/>
      <c r="K12" s="17" t="n"/>
    </row>
    <row r="13" ht="52" customHeight="1">
      <c r="A13" s="5" t="inlineStr">
        <is>
          <t>8</t>
        </is>
      </c>
      <c r="B13" s="6" t="inlineStr">
        <is>
          <t>QA + Polish</t>
        </is>
      </c>
      <c r="C13" s="7" t="inlineStr">
        <is>
          <t>4-case test coverage all features, Framer Motion audit, dark mode audit, mobile audit (375px/1280px), error handling edge cases, performance testing, PROJECT_STATUS.md final update</t>
        </is>
      </c>
      <c r="D13" s="65" t="n">
        <v>46202</v>
      </c>
      <c r="E13" s="65" t="n">
        <v>46208</v>
      </c>
      <c r="F13" s="9" t="inlineStr">
        <is>
          <t>Not Started</t>
        </is>
      </c>
      <c r="G13" s="10" t="inlineStr">
        <is>
          <t>Low</t>
        </is>
      </c>
      <c r="H13" s="10" t="inlineStr">
        <is>
          <t>QA Lead</t>
        </is>
      </c>
      <c r="I13" s="11" t="n">
        <v>0</v>
      </c>
      <c r="J13" s="10" t="n"/>
      <c r="K13" s="10" t="n"/>
    </row>
    <row r="15">
      <c r="A15" s="19" t="inlineStr">
        <is>
          <t>PHASE SUMMARY</t>
        </is>
      </c>
    </row>
    <row r="16">
      <c r="A16" s="20" t="inlineStr">
        <is>
          <t>Total Phases</t>
        </is>
      </c>
      <c r="B16" s="20" t="inlineStr">
        <is>
          <t>Completed</t>
        </is>
      </c>
      <c r="C16" s="20" t="inlineStr">
        <is>
          <t>In Progress</t>
        </is>
      </c>
      <c r="D16" s="20" t="inlineStr">
        <is>
          <t>Not Started</t>
        </is>
      </c>
      <c r="E16" s="20" t="inlineStr">
        <is>
          <t>Overall Progress</t>
        </is>
      </c>
      <c r="F16" s="20" t="inlineStr"/>
      <c r="G16" s="20" t="inlineStr"/>
      <c r="H16" s="20" t="inlineStr"/>
      <c r="I16" s="20" t="inlineStr"/>
      <c r="J16" s="20" t="inlineStr"/>
      <c r="K16" s="20" t="inlineStr"/>
    </row>
    <row r="17">
      <c r="A17" s="21" t="n">
        <v>9</v>
      </c>
      <c r="B17" s="22">
        <f>COUNTIF(F5:F13,"Done")</f>
        <v/>
      </c>
      <c r="C17" s="23">
        <f>COUNTIF(F5:F13,"In Progress")</f>
        <v/>
      </c>
      <c r="D17" s="24">
        <f>COUNTIF(F5:F13,"Not Started")</f>
        <v/>
      </c>
      <c r="E17" s="11">
        <f>B17/9</f>
        <v/>
      </c>
      <c r="F17" s="25" t="n"/>
      <c r="G17" s="25" t="n"/>
      <c r="H17" s="25" t="n"/>
      <c r="I17" s="25" t="n"/>
      <c r="J17" s="25" t="n"/>
      <c r="K17" s="25" t="n"/>
    </row>
  </sheetData>
  <mergeCells count="3">
    <mergeCell ref="A2:K2"/>
    <mergeCell ref="A15:K1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C55E"/>
    <outlinePr summaryBelow="1" summaryRight="1"/>
    <pageSetUpPr/>
  </sheetPr>
  <dimension ref="A1:L71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26" customWidth="1" min="3" max="3"/>
    <col width="50" customWidth="1" min="4" max="4"/>
    <col width="14" customWidth="1" min="5" max="5"/>
    <col width="12" customWidth="1" min="6" max="6"/>
    <col width="12" customWidth="1" min="7" max="7"/>
    <col width="13" customWidth="1" min="8" max="8"/>
    <col width="12" customWidth="1" min="9" max="9"/>
    <col width="9" customWidth="1" min="10" max="10"/>
    <col width="11" customWidth="1" min="11" max="11"/>
    <col width="22" customWidth="1" min="12" max="12"/>
  </cols>
  <sheetData>
    <row r="1" ht="32" customHeight="1">
      <c r="A1" s="26" t="inlineStr">
        <is>
          <t>TASK TRACKER -- Feature-Level Breakdown  |  67 Features Across 8 Phases</t>
        </is>
      </c>
    </row>
    <row r="2" ht="24" customHeight="1">
      <c r="A2" s="27" t="inlineStr">
        <is>
          <t>#</t>
        </is>
      </c>
      <c r="B2" s="27" t="inlineStr">
        <is>
          <t>Phase</t>
        </is>
      </c>
      <c r="C2" s="27" t="inlineStr">
        <is>
          <t>Feature</t>
        </is>
      </c>
      <c r="D2" s="27" t="inlineStr">
        <is>
          <t>Description</t>
        </is>
      </c>
      <c r="E2" s="27" t="inlineStr">
        <is>
          <t>Assigned To</t>
        </is>
      </c>
      <c r="F2" s="27" t="inlineStr">
        <is>
          <t>Start</t>
        </is>
      </c>
      <c r="G2" s="27" t="inlineStr">
        <is>
          <t>Due</t>
        </is>
      </c>
      <c r="H2" s="27" t="inlineStr">
        <is>
          <t>Status</t>
        </is>
      </c>
      <c r="I2" s="27" t="inlineStr">
        <is>
          <t>Layer</t>
        </is>
      </c>
      <c r="J2" s="27" t="inlineStr">
        <is>
          <t>Est Hrs</t>
        </is>
      </c>
      <c r="K2" s="27" t="inlineStr">
        <is>
          <t>Actual Hrs</t>
        </is>
      </c>
      <c r="L2" s="27" t="inlineStr">
        <is>
          <t>Notes / PR Link</t>
        </is>
      </c>
    </row>
    <row r="3" ht="42" customHeight="1">
      <c r="A3" s="28" t="inlineStr">
        <is>
          <t>1.1</t>
        </is>
      </c>
      <c r="B3" s="29" t="inlineStr">
        <is>
          <t>Ph1</t>
        </is>
      </c>
      <c r="C3" s="30" t="inlineStr">
        <is>
          <t>Mono-repo Skeleton</t>
        </is>
      </c>
      <c r="D3" s="31" t="inlineStr">
        <is>
          <t>backend/ and frontend/ dirs, .gitignore, docker-compose.yml skeleton, README.md, PROJECT_STATUS.md</t>
        </is>
      </c>
      <c r="E3" s="29" t="inlineStr">
        <is>
          <t>DevOps</t>
        </is>
      </c>
      <c r="F3" s="67" t="n">
        <v>46153</v>
      </c>
      <c r="G3" s="67" t="n">
        <v>46153</v>
      </c>
      <c r="H3" s="33" t="inlineStr">
        <is>
          <t>Done</t>
        </is>
      </c>
      <c r="I3" s="34" t="inlineStr">
        <is>
          <t>Infra</t>
        </is>
      </c>
      <c r="J3" s="34" t="n">
        <v>3</v>
      </c>
      <c r="K3" s="34" t="n"/>
      <c r="L3" s="29" t="n"/>
    </row>
    <row r="4" ht="42" customHeight="1">
      <c r="A4" s="35" t="inlineStr">
        <is>
          <t>1.2</t>
        </is>
      </c>
      <c r="B4" s="36" t="inlineStr">
        <is>
          <t>Ph1</t>
        </is>
      </c>
      <c r="C4" s="37" t="inlineStr">
        <is>
          <t>Backend Bootstrap</t>
        </is>
      </c>
      <c r="D4" s="38" t="inlineStr">
        <is>
          <t>main.py, config.py, database.py, utils/response.py (success/error helpers), /health endpoint, CORS</t>
        </is>
      </c>
      <c r="E4" s="36" t="inlineStr">
        <is>
          <t>Backend Dev</t>
        </is>
      </c>
      <c r="F4" s="68" t="n">
        <v>46153</v>
      </c>
      <c r="G4" s="68" t="n">
        <v>46153</v>
      </c>
      <c r="H4" s="40" t="inlineStr">
        <is>
          <t>Done</t>
        </is>
      </c>
      <c r="I4" s="41" t="inlineStr">
        <is>
          <t>Backend</t>
        </is>
      </c>
      <c r="J4" s="41" t="n">
        <v>4</v>
      </c>
      <c r="K4" s="41" t="n"/>
      <c r="L4" s="36" t="n"/>
    </row>
    <row r="5" ht="42" customHeight="1">
      <c r="A5" s="35" t="inlineStr">
        <is>
          <t>1.3</t>
        </is>
      </c>
      <c r="B5" s="36" t="inlineStr">
        <is>
          <t>Ph1</t>
        </is>
      </c>
      <c r="C5" s="37" t="inlineStr">
        <is>
          <t>Backend History Stubs</t>
        </is>
      </c>
      <c r="D5" s="38" t="inlineStr">
        <is>
          <t>Create empty mistakes.md, servicesHistory.md, middlewareHistory.md, features.md in backend/</t>
        </is>
      </c>
      <c r="E5" s="36" t="inlineStr">
        <is>
          <t>Backend Dev</t>
        </is>
      </c>
      <c r="F5" s="68" t="n">
        <v>46153</v>
      </c>
      <c r="G5" s="68" t="n">
        <v>46153</v>
      </c>
      <c r="H5" s="40" t="inlineStr">
        <is>
          <t>Done</t>
        </is>
      </c>
      <c r="I5" s="41" t="inlineStr">
        <is>
          <t>Backend</t>
        </is>
      </c>
      <c r="J5" s="41" t="n">
        <v>1</v>
      </c>
      <c r="K5" s="41" t="n"/>
      <c r="L5" s="36" t="n"/>
    </row>
    <row r="6" ht="42" customHeight="1">
      <c r="A6" s="42" t="inlineStr">
        <is>
          <t>1.4</t>
        </is>
      </c>
      <c r="B6" s="43" t="inlineStr">
        <is>
          <t>Ph1</t>
        </is>
      </c>
      <c r="C6" s="44" t="inlineStr">
        <is>
          <t>Frontend Bootstrap</t>
        </is>
      </c>
      <c r="D6" s="45" t="inlineStr">
        <is>
          <t>Pinned packages, DM Sans via next/font, app/layout.tsx, lib/axios.ts (bearer+401 logout), lib/animations.ts all variants</t>
        </is>
      </c>
      <c r="E6" s="43" t="inlineStr">
        <is>
          <t>Frontend Dev</t>
        </is>
      </c>
      <c r="F6" s="69" t="n">
        <v>46154</v>
      </c>
      <c r="G6" s="69" t="n">
        <v>46154</v>
      </c>
      <c r="H6" s="47" t="inlineStr">
        <is>
          <t>Done</t>
        </is>
      </c>
      <c r="I6" s="48" t="inlineStr">
        <is>
          <t>Frontend</t>
        </is>
      </c>
      <c r="J6" s="48" t="n">
        <v>5</v>
      </c>
      <c r="K6" s="48" t="n"/>
      <c r="L6" s="43" t="n"/>
    </row>
    <row r="7" ht="42" customHeight="1">
      <c r="A7" s="42" t="inlineStr">
        <is>
          <t>1.5</t>
        </is>
      </c>
      <c r="B7" s="43" t="inlineStr">
        <is>
          <t>Ph1</t>
        </is>
      </c>
      <c r="C7" s="44" t="inlineStr">
        <is>
          <t>Frontend Providers</t>
        </is>
      </c>
      <c r="D7" s="45" t="inlineStr">
        <is>
          <t>QueryProvider.tsx (RQ+Devtools), ThemeProvider.tsx (next-themes defaultTheme=system), Sonner Toaster in layout</t>
        </is>
      </c>
      <c r="E7" s="43" t="inlineStr">
        <is>
          <t>Frontend Dev</t>
        </is>
      </c>
      <c r="F7" s="69" t="n">
        <v>46154</v>
      </c>
      <c r="G7" s="69" t="n">
        <v>46154</v>
      </c>
      <c r="H7" s="47" t="inlineStr">
        <is>
          <t>Done</t>
        </is>
      </c>
      <c r="I7" s="48" t="inlineStr">
        <is>
          <t>Frontend</t>
        </is>
      </c>
      <c r="J7" s="48" t="n">
        <v>2</v>
      </c>
      <c r="K7" s="48" t="n"/>
      <c r="L7" s="43" t="n"/>
    </row>
    <row r="8" ht="42" customHeight="1">
      <c r="A8" s="42" t="inlineStr">
        <is>
          <t>1.6</t>
        </is>
      </c>
      <c r="B8" s="43" t="inlineStr">
        <is>
          <t>Ph1</t>
        </is>
      </c>
      <c r="C8" s="44" t="inlineStr">
        <is>
          <t>Frontend History Stubs</t>
        </is>
      </c>
      <c r="D8" s="45" t="inlineStr">
        <is>
          <t>Create empty mistakes.md, componentsHistory.md, apiHistory.md, features.md, design.md in frontend/</t>
        </is>
      </c>
      <c r="E8" s="43" t="inlineStr">
        <is>
          <t>Frontend Dev</t>
        </is>
      </c>
      <c r="F8" s="69" t="n">
        <v>46154</v>
      </c>
      <c r="G8" s="69" t="n">
        <v>46154</v>
      </c>
      <c r="H8" s="47" t="inlineStr">
        <is>
          <t>Done</t>
        </is>
      </c>
      <c r="I8" s="48" t="inlineStr">
        <is>
          <t>Frontend</t>
        </is>
      </c>
      <c r="J8" s="48" t="n">
        <v>1</v>
      </c>
      <c r="K8" s="48" t="n"/>
      <c r="L8" s="43" t="n"/>
    </row>
    <row r="9" ht="42" customHeight="1">
      <c r="A9" s="35" t="inlineStr">
        <is>
          <t>1.7</t>
        </is>
      </c>
      <c r="B9" s="36" t="inlineStr">
        <is>
          <t>Ph1</t>
        </is>
      </c>
      <c r="C9" s="37" t="inlineStr">
        <is>
          <t>Auth Models &amp; Utils</t>
        </is>
      </c>
      <c r="D9" s="38" t="inlineStr">
        <is>
          <t>models/user.py, utils/jwt.py (create_access/refresh/decode tokens), utils/encryption.py (AES-256-GCM), unique email index</t>
        </is>
      </c>
      <c r="E9" s="36" t="inlineStr">
        <is>
          <t>Backend Dev</t>
        </is>
      </c>
      <c r="F9" s="68" t="n">
        <v>46155</v>
      </c>
      <c r="G9" s="68" t="n">
        <v>46155</v>
      </c>
      <c r="H9" s="40" t="inlineStr">
        <is>
          <t>Done</t>
        </is>
      </c>
      <c r="I9" s="41" t="inlineStr">
        <is>
          <t>Backend</t>
        </is>
      </c>
      <c r="J9" s="41" t="n">
        <v>4</v>
      </c>
      <c r="K9" s="41" t="n"/>
      <c r="L9" s="36" t="n"/>
    </row>
    <row r="10" ht="42" customHeight="1">
      <c r="A10" s="35" t="inlineStr">
        <is>
          <t>1.8</t>
        </is>
      </c>
      <c r="B10" s="36" t="inlineStr">
        <is>
          <t>Ph1</t>
        </is>
      </c>
      <c r="C10" s="37" t="inlineStr">
        <is>
          <t>Auth Middleware</t>
        </is>
      </c>
      <c r="D10" s="38" t="inlineStr">
        <is>
          <t>middleware/auth.py get_current_user (JWT validate+inject user), middleware/permissions.py require_plan() dep</t>
        </is>
      </c>
      <c r="E10" s="36" t="inlineStr">
        <is>
          <t>Backend Dev</t>
        </is>
      </c>
      <c r="F10" s="68" t="n">
        <v>46155</v>
      </c>
      <c r="G10" s="68" t="n">
        <v>46155</v>
      </c>
      <c r="H10" s="40" t="inlineStr">
        <is>
          <t>Done</t>
        </is>
      </c>
      <c r="I10" s="41" t="inlineStr">
        <is>
          <t>Backend</t>
        </is>
      </c>
      <c r="J10" s="41" t="n">
        <v>3</v>
      </c>
      <c r="K10" s="41" t="n"/>
      <c r="L10" s="36" t="n"/>
    </row>
    <row r="11" ht="42" customHeight="1">
      <c r="A11" s="35" t="inlineStr">
        <is>
          <t>1.9</t>
        </is>
      </c>
      <c r="B11" s="36" t="inlineStr">
        <is>
          <t>Ph1</t>
        </is>
      </c>
      <c r="C11" s="37" t="inlineStr">
        <is>
          <t>Auth -- Register &amp; Login</t>
        </is>
      </c>
      <c r="D11" s="38" t="inlineStr">
        <is>
          <t>services/auth_service.py (register_user, authenticate_user, bcrypt), POST /auth/register, POST /auth/login, schemas/auth.py</t>
        </is>
      </c>
      <c r="E11" s="36" t="inlineStr">
        <is>
          <t>Backend Dev</t>
        </is>
      </c>
      <c r="F11" s="68" t="n">
        <v>46155</v>
      </c>
      <c r="G11" s="68" t="n">
        <v>46156</v>
      </c>
      <c r="H11" s="40" t="inlineStr">
        <is>
          <t>Done</t>
        </is>
      </c>
      <c r="I11" s="41" t="inlineStr">
        <is>
          <t>Backend</t>
        </is>
      </c>
      <c r="J11" s="41" t="n">
        <v>6</v>
      </c>
      <c r="K11" s="41" t="n"/>
      <c r="L11" s="36" t="n"/>
    </row>
    <row r="12" ht="42" customHeight="1">
      <c r="A12" s="35" t="inlineStr">
        <is>
          <t>1.10</t>
        </is>
      </c>
      <c r="B12" s="36" t="inlineStr">
        <is>
          <t>Ph1</t>
        </is>
      </c>
      <c r="C12" s="37" t="inlineStr">
        <is>
          <t>Auth -- Refresh / Me / Logout</t>
        </is>
      </c>
      <c r="D12" s="38" t="inlineStr">
        <is>
          <t>POST /auth/refresh (rotate access token), GET /auth/me (current user), POST /auth/logout (revoke refresh token)</t>
        </is>
      </c>
      <c r="E12" s="36" t="inlineStr">
        <is>
          <t>Backend Dev</t>
        </is>
      </c>
      <c r="F12" s="68" t="n">
        <v>46156</v>
      </c>
      <c r="G12" s="68" t="n">
        <v>46156</v>
      </c>
      <c r="H12" s="40" t="inlineStr">
        <is>
          <t>Done</t>
        </is>
      </c>
      <c r="I12" s="41" t="inlineStr">
        <is>
          <t>Backend</t>
        </is>
      </c>
      <c r="J12" s="41" t="n">
        <v>4</v>
      </c>
      <c r="K12" s="41" t="n"/>
      <c r="L12" s="36" t="n"/>
    </row>
    <row r="13" ht="42" customHeight="1">
      <c r="A13" s="42" t="inlineStr">
        <is>
          <t>1.11</t>
        </is>
      </c>
      <c r="B13" s="43" t="inlineStr">
        <is>
          <t>Ph1</t>
        </is>
      </c>
      <c r="C13" s="44" t="inlineStr">
        <is>
          <t>Auth Store + Hook</t>
        </is>
      </c>
      <c r="D13" s="45" t="inlineStr">
        <is>
          <t>lib/stores/authStore.ts (Zustand: user/token/setSession/logout), hooks/useAuth.ts mutations, types/user.ts IUser shape</t>
        </is>
      </c>
      <c r="E13" s="43" t="inlineStr">
        <is>
          <t>Frontend Dev</t>
        </is>
      </c>
      <c r="F13" s="69" t="n">
        <v>46157</v>
      </c>
      <c r="G13" s="69" t="n">
        <v>46157</v>
      </c>
      <c r="H13" s="47" t="inlineStr">
        <is>
          <t>Done</t>
        </is>
      </c>
      <c r="I13" s="48" t="inlineStr">
        <is>
          <t>Frontend</t>
        </is>
      </c>
      <c r="J13" s="48" t="n">
        <v>5</v>
      </c>
      <c r="K13" s="48" t="n"/>
      <c r="L13" s="43" t="n"/>
    </row>
    <row r="14" ht="42" customHeight="1">
      <c r="A14" s="42" t="inlineStr">
        <is>
          <t>1.12</t>
        </is>
      </c>
      <c r="B14" s="43" t="inlineStr">
        <is>
          <t>Ph1</t>
        </is>
      </c>
      <c r="C14" s="44" t="inlineStr">
        <is>
          <t>Shared UI -- First Batch</t>
        </is>
      </c>
      <c r="D14" s="45" t="inlineStr">
        <is>
          <t>ThemeToggle (AnimatePresence sun/moon swap), PageHeader, LoadingSkeleton, EmptyState -- log each in componentsHistory.md</t>
        </is>
      </c>
      <c r="E14" s="43" t="inlineStr">
        <is>
          <t>Frontend Dev</t>
        </is>
      </c>
      <c r="F14" s="69" t="n">
        <v>46157</v>
      </c>
      <c r="G14" s="69" t="n">
        <v>46157</v>
      </c>
      <c r="H14" s="47" t="inlineStr">
        <is>
          <t>Done</t>
        </is>
      </c>
      <c r="I14" s="48" t="inlineStr">
        <is>
          <t>Frontend</t>
        </is>
      </c>
      <c r="J14" s="48" t="n">
        <v>6</v>
      </c>
      <c r="K14" s="48" t="n"/>
      <c r="L14" s="43" t="n"/>
    </row>
    <row r="15" ht="42" customHeight="1">
      <c r="A15" s="42" t="inlineStr">
        <is>
          <t>1.13</t>
        </is>
      </c>
      <c r="B15" s="43" t="inlineStr">
        <is>
          <t>Ph1</t>
        </is>
      </c>
      <c r="C15" s="44" t="inlineStr">
        <is>
          <t>Login &amp; Register Pages</t>
        </is>
      </c>
      <c r="D15" s="45" t="inlineStr">
        <is>
          <t>app/(auth)/login/page.tsx + register/page.tsx -- RHF+Zod, useAuth, pageVariants, Sonner toasts on success/error</t>
        </is>
      </c>
      <c r="E15" s="43" t="inlineStr">
        <is>
          <t>Frontend Dev</t>
        </is>
      </c>
      <c r="F15" s="69" t="n">
        <v>46157</v>
      </c>
      <c r="G15" s="69" t="n">
        <v>46159</v>
      </c>
      <c r="H15" s="47" t="inlineStr">
        <is>
          <t>Done</t>
        </is>
      </c>
      <c r="I15" s="48" t="inlineStr">
        <is>
          <t>Frontend</t>
        </is>
      </c>
      <c r="J15" s="48" t="n">
        <v>8</v>
      </c>
      <c r="K15" s="48" t="n"/>
      <c r="L15" s="43" t="n"/>
    </row>
    <row r="16" ht="42" customHeight="1">
      <c r="A16" s="42" t="inlineStr">
        <is>
          <t>1.14</t>
        </is>
      </c>
      <c r="B16" s="43" t="inlineStr">
        <is>
          <t>Ph1</t>
        </is>
      </c>
      <c r="C16" s="44" t="inlineStr">
        <is>
          <t>Route Guard</t>
        </is>
      </c>
      <c r="D16" s="45" t="inlineStr">
        <is>
          <t>middleware.ts: redirect unauthenticated /dashboard/* to /login. (dashboard)/layout.tsx placeholder, redirect to /overview</t>
        </is>
      </c>
      <c r="E16" s="43" t="inlineStr">
        <is>
          <t>Frontend Dev</t>
        </is>
      </c>
      <c r="F16" s="69" t="n">
        <v>46159</v>
      </c>
      <c r="G16" s="69" t="n">
        <v>46159</v>
      </c>
      <c r="H16" s="47" t="inlineStr">
        <is>
          <t>Done</t>
        </is>
      </c>
      <c r="I16" s="48" t="inlineStr">
        <is>
          <t>Frontend</t>
        </is>
      </c>
      <c r="J16" s="48" t="n">
        <v>2</v>
      </c>
      <c r="K16" s="48" t="n"/>
      <c r="L16" s="43" t="n"/>
    </row>
    <row r="17" ht="42" customHeight="1">
      <c r="A17" s="35" t="inlineStr">
        <is>
          <t>2.1</t>
        </is>
      </c>
      <c r="B17" s="36" t="inlineStr">
        <is>
          <t>Ph2</t>
        </is>
      </c>
      <c r="C17" s="37" t="inlineStr">
        <is>
          <t>Connector Model + Service</t>
        </is>
      </c>
      <c r="D17" s="38" t="inlineStr">
        <is>
          <t>models/connector.py (encrypted tokens, status, sync_frequency), services/connector_service.py CRUD + save_tokens(), indexes</t>
        </is>
      </c>
      <c r="E17" s="36" t="inlineStr">
        <is>
          <t>Backend Dev</t>
        </is>
      </c>
      <c r="F17" s="68" t="n">
        <v>46160</v>
      </c>
      <c r="G17" s="68" t="n">
        <v>46161</v>
      </c>
      <c r="H17" s="40" t="inlineStr">
        <is>
          <t>Not Started</t>
        </is>
      </c>
      <c r="I17" s="41" t="inlineStr">
        <is>
          <t>Backend</t>
        </is>
      </c>
      <c r="J17" s="41" t="n">
        <v>6</v>
      </c>
      <c r="K17" s="41" t="n"/>
      <c r="L17" s="36" t="n"/>
    </row>
    <row r="18" ht="42" customHeight="1">
      <c r="A18" s="35" t="inlineStr">
        <is>
          <t>2.2</t>
        </is>
      </c>
      <c r="B18" s="36" t="inlineStr">
        <is>
          <t>Ph2</t>
        </is>
      </c>
      <c r="C18" s="37" t="inlineStr">
        <is>
          <t>Connector CRUD Endpoints</t>
        </is>
      </c>
      <c r="D18" s="38" t="inlineStr">
        <is>
          <t>routers/connectors.py: GET / POST / GET :id / PUT :id / DELETE :id -- all behind get_current_user dep</t>
        </is>
      </c>
      <c r="E18" s="36" t="inlineStr">
        <is>
          <t>Backend Dev</t>
        </is>
      </c>
      <c r="F18" s="68" t="n">
        <v>46161</v>
      </c>
      <c r="G18" s="68" t="n">
        <v>46162</v>
      </c>
      <c r="H18" s="40" t="inlineStr">
        <is>
          <t>Not Started</t>
        </is>
      </c>
      <c r="I18" s="41" t="inlineStr">
        <is>
          <t>Backend</t>
        </is>
      </c>
      <c r="J18" s="41" t="n">
        <v>5</v>
      </c>
      <c r="K18" s="41" t="n"/>
      <c r="L18" s="36" t="n"/>
    </row>
    <row r="19" ht="42" customHeight="1">
      <c r="A19" s="35" t="inlineStr">
        <is>
          <t>2.3</t>
        </is>
      </c>
      <c r="B19" s="36" t="inlineStr">
        <is>
          <t>Ph2</t>
        </is>
      </c>
      <c r="C19" s="37" t="inlineStr">
        <is>
          <t>OAuth Shared Helpers</t>
        </is>
      </c>
      <c r="D19" s="38" t="inlineStr">
        <is>
          <t>utils/oauth.py: PKCE code verifier/challenge, state nonce store (Redis), token-exchange wrapper for all platforms</t>
        </is>
      </c>
      <c r="E19" s="36" t="inlineStr">
        <is>
          <t>Backend Dev</t>
        </is>
      </c>
      <c r="F19" s="68" t="n">
        <v>46162</v>
      </c>
      <c r="G19" s="68" t="n">
        <v>46162</v>
      </c>
      <c r="H19" s="40" t="inlineStr">
        <is>
          <t>Not Started</t>
        </is>
      </c>
      <c r="I19" s="41" t="inlineStr">
        <is>
          <t>Backend</t>
        </is>
      </c>
      <c r="J19" s="41" t="n">
        <v>4</v>
      </c>
      <c r="K19" s="41" t="n"/>
      <c r="L19" s="36" t="n"/>
    </row>
    <row r="20" ht="42" customHeight="1">
      <c r="A20" s="35" t="inlineStr">
        <is>
          <t>2.4</t>
        </is>
      </c>
      <c r="B20" s="36" t="inlineStr">
        <is>
          <t>Ph2</t>
        </is>
      </c>
      <c r="C20" s="37" t="inlineStr">
        <is>
          <t>Google Ads OAuth</t>
        </is>
      </c>
      <c r="D20" s="38" t="inlineStr">
        <is>
          <t>platforms/google_ads.py: get_auth_url, exchange_code, refresh_access_token. GET /connectors/google_ads/auth + /callback</t>
        </is>
      </c>
      <c r="E20" s="36" t="inlineStr">
        <is>
          <t>Backend Dev</t>
        </is>
      </c>
      <c r="F20" s="68" t="n">
        <v>46162</v>
      </c>
      <c r="G20" s="68" t="n">
        <v>46163</v>
      </c>
      <c r="H20" s="40" t="inlineStr">
        <is>
          <t>Not Started</t>
        </is>
      </c>
      <c r="I20" s="41" t="inlineStr">
        <is>
          <t>Backend</t>
        </is>
      </c>
      <c r="J20" s="41" t="n">
        <v>6</v>
      </c>
      <c r="K20" s="41" t="n"/>
      <c r="L20" s="36" t="n"/>
    </row>
    <row r="21" ht="42" customHeight="1">
      <c r="A21" s="35" t="inlineStr">
        <is>
          <t>2.5</t>
        </is>
      </c>
      <c r="B21" s="36" t="inlineStr">
        <is>
          <t>Ph2</t>
        </is>
      </c>
      <c r="C21" s="37" t="inlineStr">
        <is>
          <t>GA4 OAuth</t>
        </is>
      </c>
      <c r="D21" s="38" t="inlineStr">
        <is>
          <t>platforms/ga4.py (reuse Google Cloud client, enable GA4 Data API). GET /connectors/ga4/auth + /callback</t>
        </is>
      </c>
      <c r="E21" s="36" t="inlineStr">
        <is>
          <t>Backend Dev</t>
        </is>
      </c>
      <c r="F21" s="68" t="n">
        <v>46163</v>
      </c>
      <c r="G21" s="68" t="n">
        <v>46163</v>
      </c>
      <c r="H21" s="40" t="inlineStr">
        <is>
          <t>Not Started</t>
        </is>
      </c>
      <c r="I21" s="41" t="inlineStr">
        <is>
          <t>Backend</t>
        </is>
      </c>
      <c r="J21" s="41" t="n">
        <v>4</v>
      </c>
      <c r="K21" s="41" t="n"/>
      <c r="L21" s="36" t="n"/>
    </row>
    <row r="22" ht="42" customHeight="1">
      <c r="A22" s="35" t="inlineStr">
        <is>
          <t>2.6</t>
        </is>
      </c>
      <c r="B22" s="36" t="inlineStr">
        <is>
          <t>Ph2</t>
        </is>
      </c>
      <c r="C22" s="37" t="inlineStr">
        <is>
          <t>Facebook Ads OAuth</t>
        </is>
      </c>
      <c r="D22" s="38" t="inlineStr">
        <is>
          <t>platforms/facebook_ads.py (Meta Marketing API). GET /connectors/facebook_ads/auth + /callback</t>
        </is>
      </c>
      <c r="E22" s="36" t="inlineStr">
        <is>
          <t>Backend Dev</t>
        </is>
      </c>
      <c r="F22" s="68" t="n">
        <v>46163</v>
      </c>
      <c r="G22" s="68" t="n">
        <v>46164</v>
      </c>
      <c r="H22" s="40" t="inlineStr">
        <is>
          <t>Not Started</t>
        </is>
      </c>
      <c r="I22" s="41" t="inlineStr">
        <is>
          <t>Backend</t>
        </is>
      </c>
      <c r="J22" s="41" t="n">
        <v>5</v>
      </c>
      <c r="K22" s="41" t="n"/>
      <c r="L22" s="36" t="n"/>
    </row>
    <row r="23" ht="42" customHeight="1">
      <c r="A23" s="42" t="inlineStr">
        <is>
          <t>2.7</t>
        </is>
      </c>
      <c r="B23" s="43" t="inlineStr">
        <is>
          <t>Ph2</t>
        </is>
      </c>
      <c r="C23" s="44" t="inlineStr">
        <is>
          <t>Frontend Connector Types+Hooks</t>
        </is>
      </c>
      <c r="D23" s="45" t="inlineStr">
        <is>
          <t>types/connector.ts (IConnector, Platform enum), hooks/useConnectors.ts (list/get/create/update/delete + cache invalidation)</t>
        </is>
      </c>
      <c r="E23" s="43" t="inlineStr">
        <is>
          <t>Frontend Dev</t>
        </is>
      </c>
      <c r="F23" s="69" t="n">
        <v>46160</v>
      </c>
      <c r="G23" s="69" t="n">
        <v>46161</v>
      </c>
      <c r="H23" s="47" t="inlineStr">
        <is>
          <t>Not Started</t>
        </is>
      </c>
      <c r="I23" s="48" t="inlineStr">
        <is>
          <t>Frontend</t>
        </is>
      </c>
      <c r="J23" s="48" t="n">
        <v>4</v>
      </c>
      <c r="K23" s="48" t="n"/>
      <c r="L23" s="43" t="n"/>
    </row>
    <row r="24" ht="42" customHeight="1">
      <c r="A24" s="42" t="inlineStr">
        <is>
          <t>2.8</t>
        </is>
      </c>
      <c r="B24" s="43" t="inlineStr">
        <is>
          <t>Ph2</t>
        </is>
      </c>
      <c r="C24" s="44" t="inlineStr">
        <is>
          <t>Shared UI -- Second Batch</t>
        </is>
      </c>
      <c r="D24" s="45" t="inlineStr">
        <is>
          <t>SyncStatusBadge, ConnectorCard (logo+status+timestamp), ResponsiveModal (Dialog to Sheet on mobile), ConfirmDialog</t>
        </is>
      </c>
      <c r="E24" s="43" t="inlineStr">
        <is>
          <t>Frontend Dev</t>
        </is>
      </c>
      <c r="F24" s="69" t="n">
        <v>46161</v>
      </c>
      <c r="G24" s="69" t="n">
        <v>46163</v>
      </c>
      <c r="H24" s="47" t="inlineStr">
        <is>
          <t>Not Started</t>
        </is>
      </c>
      <c r="I24" s="48" t="inlineStr">
        <is>
          <t>Frontend</t>
        </is>
      </c>
      <c r="J24" s="48" t="n">
        <v>6</v>
      </c>
      <c r="K24" s="48" t="n"/>
      <c r="L24" s="43" t="n"/>
    </row>
    <row r="25" ht="42" customHeight="1">
      <c r="A25" s="42" t="inlineStr">
        <is>
          <t>2.9</t>
        </is>
      </c>
      <c r="B25" s="43" t="inlineStr">
        <is>
          <t>Ph2</t>
        </is>
      </c>
      <c r="C25" s="44" t="inlineStr">
        <is>
          <t>Add Connector Modal</t>
        </is>
      </c>
      <c r="D25" s="45" t="inlineStr">
        <is>
          <t>connectors/AddConnectorModal.tsx: platform picker, sync_frequency (RHF+Zod), OAuth redirect trigger, Sonner feedback</t>
        </is>
      </c>
      <c r="E25" s="43" t="inlineStr">
        <is>
          <t>Frontend Dev</t>
        </is>
      </c>
      <c r="F25" s="69" t="n">
        <v>46163</v>
      </c>
      <c r="G25" s="69" t="n">
        <v>46164</v>
      </c>
      <c r="H25" s="47" t="inlineStr">
        <is>
          <t>Not Started</t>
        </is>
      </c>
      <c r="I25" s="48" t="inlineStr">
        <is>
          <t>Frontend</t>
        </is>
      </c>
      <c r="J25" s="48" t="n">
        <v>6</v>
      </c>
      <c r="K25" s="48" t="n"/>
      <c r="L25" s="43" t="n"/>
    </row>
    <row r="26" ht="42" customHeight="1">
      <c r="A26" s="42" t="inlineStr">
        <is>
          <t>2.10</t>
        </is>
      </c>
      <c r="B26" s="43" t="inlineStr">
        <is>
          <t>Ph2</t>
        </is>
      </c>
      <c r="C26" s="44" t="inlineStr">
        <is>
          <t>Connectors Page Initial</t>
        </is>
      </c>
      <c r="D26" s="45" t="inlineStr">
        <is>
          <t>connectors/page.tsx + ConnectorGrid.tsx: listContainerVariants stagger, empty state, loading skeleton</t>
        </is>
      </c>
      <c r="E26" s="43" t="inlineStr">
        <is>
          <t>Frontend Dev</t>
        </is>
      </c>
      <c r="F26" s="69" t="n">
        <v>46164</v>
      </c>
      <c r="G26" s="69" t="n">
        <v>46165</v>
      </c>
      <c r="H26" s="47" t="inlineStr">
        <is>
          <t>Not Started</t>
        </is>
      </c>
      <c r="I26" s="48" t="inlineStr">
        <is>
          <t>Frontend</t>
        </is>
      </c>
      <c r="J26" s="48" t="n">
        <v>6</v>
      </c>
      <c r="K26" s="48" t="n"/>
      <c r="L26" s="43" t="n"/>
    </row>
    <row r="27" ht="42" customHeight="1">
      <c r="A27" s="42" t="inlineStr">
        <is>
          <t>2.11</t>
        </is>
      </c>
      <c r="B27" s="43" t="inlineStr">
        <is>
          <t>Ph2</t>
        </is>
      </c>
      <c r="C27" s="44" t="inlineStr">
        <is>
          <t>OAuth Callback Handler</t>
        </is>
      </c>
      <c r="D27" s="45" t="inlineStr">
        <is>
          <t>connectors/OAuthCallback.tsx: reads ?connected=platform, toast.success, invalidates RQ connectors cache</t>
        </is>
      </c>
      <c r="E27" s="43" t="inlineStr">
        <is>
          <t>Frontend Dev</t>
        </is>
      </c>
      <c r="F27" s="69" t="n">
        <v>46165</v>
      </c>
      <c r="G27" s="69" t="n">
        <v>46166</v>
      </c>
      <c r="H27" s="47" t="inlineStr">
        <is>
          <t>Not Started</t>
        </is>
      </c>
      <c r="I27" s="48" t="inlineStr">
        <is>
          <t>Frontend</t>
        </is>
      </c>
      <c r="J27" s="48" t="n">
        <v>3</v>
      </c>
      <c r="K27" s="48" t="n"/>
      <c r="L27" s="43" t="n"/>
    </row>
    <row r="28" ht="42" customHeight="1">
      <c r="A28" s="35" t="inlineStr">
        <is>
          <t>3.1</t>
        </is>
      </c>
      <c r="B28" s="36" t="inlineStr">
        <is>
          <t>Ph3</t>
        </is>
      </c>
      <c r="C28" s="37" t="inlineStr">
        <is>
          <t>Marketing Data Model</t>
        </is>
      </c>
      <c r="D28" s="38" t="inlineStr">
        <is>
          <t>models/marketing_data.py (unified schema: metrics+dimensions), unique compound index (user_id, platform, date, campaign_id)</t>
        </is>
      </c>
      <c r="E28" s="36" t="inlineStr">
        <is>
          <t>Backend Dev</t>
        </is>
      </c>
      <c r="F28" s="68" t="n">
        <v>46167</v>
      </c>
      <c r="G28" s="68" t="n">
        <v>46167</v>
      </c>
      <c r="H28" s="40" t="inlineStr">
        <is>
          <t>Not Started</t>
        </is>
      </c>
      <c r="I28" s="41" t="inlineStr">
        <is>
          <t>Backend</t>
        </is>
      </c>
      <c r="J28" s="41" t="n">
        <v>3</v>
      </c>
      <c r="K28" s="41" t="n"/>
      <c r="L28" s="36" t="n"/>
    </row>
    <row r="29" ht="42" customHeight="1">
      <c r="A29" s="35" t="inlineStr">
        <is>
          <t>3.2</t>
        </is>
      </c>
      <c r="B29" s="36" t="inlineStr">
        <is>
          <t>Ph3</t>
        </is>
      </c>
      <c r="C29" s="37" t="inlineStr">
        <is>
          <t>Celery + Redis Bootstrap</t>
        </is>
      </c>
      <c r="D29" s="38" t="inlineStr">
        <is>
          <t>tasks/celery_app.py: Celery+Beat hourly schedule, Compose celery-worker+celery-beat, get_sync_db() sync wrapper</t>
        </is>
      </c>
      <c r="E29" s="36" t="inlineStr">
        <is>
          <t>Backend Dev</t>
        </is>
      </c>
      <c r="F29" s="68" t="n">
        <v>46167</v>
      </c>
      <c r="G29" s="68" t="n">
        <v>46168</v>
      </c>
      <c r="H29" s="40" t="inlineStr">
        <is>
          <t>Not Started</t>
        </is>
      </c>
      <c r="I29" s="41" t="inlineStr">
        <is>
          <t>Backend</t>
        </is>
      </c>
      <c r="J29" s="41" t="n">
        <v>5</v>
      </c>
      <c r="K29" s="41" t="n"/>
      <c r="L29" s="36" t="n"/>
    </row>
    <row r="30" ht="42" customHeight="1">
      <c r="A30" s="35" t="inlineStr">
        <is>
          <t>3.3</t>
        </is>
      </c>
      <c r="B30" s="36" t="inlineStr">
        <is>
          <t>Ph3</t>
        </is>
      </c>
      <c r="C30" s="37" t="inlineStr">
        <is>
          <t>Sync Service Core</t>
        </is>
      </c>
      <c r="D30" s="38" t="inlineStr">
        <is>
          <t>services/sync_service.py upsert logic, tasks/sync_tasks.py: sync_connector (status transitions, retry x3) + run_scheduled_syncs</t>
        </is>
      </c>
      <c r="E30" s="36" t="inlineStr">
        <is>
          <t>Backend Dev</t>
        </is>
      </c>
      <c r="F30" s="68" t="n">
        <v>46168</v>
      </c>
      <c r="G30" s="68" t="n">
        <v>46170</v>
      </c>
      <c r="H30" s="40" t="inlineStr">
        <is>
          <t>Not Started</t>
        </is>
      </c>
      <c r="I30" s="41" t="inlineStr">
        <is>
          <t>Backend</t>
        </is>
      </c>
      <c r="J30" s="41" t="n">
        <v>8</v>
      </c>
      <c r="K30" s="41" t="n"/>
      <c r="L30" s="36" t="n"/>
    </row>
    <row r="31" ht="42" customHeight="1">
      <c r="A31" s="35" t="inlineStr">
        <is>
          <t>3.4</t>
        </is>
      </c>
      <c r="B31" s="36" t="inlineStr">
        <is>
          <t>Ph3</t>
        </is>
      </c>
      <c r="C31" s="37" t="inlineStr">
        <is>
          <t>Google Ads fetch_data</t>
        </is>
      </c>
      <c r="D31" s="38" t="inlineStr">
        <is>
          <t>Add fetch_data(connector) to google_ads.py -- map API response to unified marketing_data schema</t>
        </is>
      </c>
      <c r="E31" s="36" t="inlineStr">
        <is>
          <t>Backend Dev</t>
        </is>
      </c>
      <c r="F31" s="68" t="n">
        <v>46170</v>
      </c>
      <c r="G31" s="68" t="n">
        <v>46171</v>
      </c>
      <c r="H31" s="40" t="inlineStr">
        <is>
          <t>Not Started</t>
        </is>
      </c>
      <c r="I31" s="41" t="inlineStr">
        <is>
          <t>Backend</t>
        </is>
      </c>
      <c r="J31" s="41" t="n">
        <v>6</v>
      </c>
      <c r="K31" s="41" t="n"/>
      <c r="L31" s="36" t="n"/>
    </row>
    <row r="32" ht="42" customHeight="1">
      <c r="A32" s="35" t="inlineStr">
        <is>
          <t>3.5</t>
        </is>
      </c>
      <c r="B32" s="36" t="inlineStr">
        <is>
          <t>Ph3</t>
        </is>
      </c>
      <c r="C32" s="37" t="inlineStr">
        <is>
          <t>GA4 fetch_data</t>
        </is>
      </c>
      <c r="D32" s="38" t="inlineStr">
        <is>
          <t>Add fetch_data(connector) to ga4.py -- session/user metrics mapped to unified schema</t>
        </is>
      </c>
      <c r="E32" s="36" t="inlineStr">
        <is>
          <t>Backend Dev</t>
        </is>
      </c>
      <c r="F32" s="68" t="n">
        <v>46171</v>
      </c>
      <c r="G32" s="68" t="n">
        <v>46171</v>
      </c>
      <c r="H32" s="40" t="inlineStr">
        <is>
          <t>Not Started</t>
        </is>
      </c>
      <c r="I32" s="41" t="inlineStr">
        <is>
          <t>Backend</t>
        </is>
      </c>
      <c r="J32" s="41" t="n">
        <v>5</v>
      </c>
      <c r="K32" s="41" t="n"/>
      <c r="L32" s="36" t="n"/>
    </row>
    <row r="33" ht="42" customHeight="1">
      <c r="A33" s="35" t="inlineStr">
        <is>
          <t>3.6</t>
        </is>
      </c>
      <c r="B33" s="36" t="inlineStr">
        <is>
          <t>Ph3</t>
        </is>
      </c>
      <c r="C33" s="37" t="inlineStr">
        <is>
          <t>Facebook Ads fetch_data</t>
        </is>
      </c>
      <c r="D33" s="38" t="inlineStr">
        <is>
          <t>Add fetch_data(connector) to facebook_ads.py -- campaign insights to unified schema, handle pagination</t>
        </is>
      </c>
      <c r="E33" s="36" t="inlineStr">
        <is>
          <t>Backend Dev</t>
        </is>
      </c>
      <c r="F33" s="68" t="n">
        <v>46171</v>
      </c>
      <c r="G33" s="68" t="n">
        <v>46172</v>
      </c>
      <c r="H33" s="40" t="inlineStr">
        <is>
          <t>Not Started</t>
        </is>
      </c>
      <c r="I33" s="41" t="inlineStr">
        <is>
          <t>Backend</t>
        </is>
      </c>
      <c r="J33" s="41" t="n">
        <v>5</v>
      </c>
      <c r="K33" s="41" t="n"/>
      <c r="L33" s="36" t="n"/>
    </row>
    <row r="34" ht="42" customHeight="1">
      <c r="A34" s="35" t="inlineStr">
        <is>
          <t>3.7</t>
        </is>
      </c>
      <c r="B34" s="36" t="inlineStr">
        <is>
          <t>Ph3</t>
        </is>
      </c>
      <c r="C34" s="37" t="inlineStr">
        <is>
          <t>Sync Trigger + Status Endpoints</t>
        </is>
      </c>
      <c r="D34" s="38" t="inlineStr">
        <is>
          <t>POST /sync/trigger/:id (enqueue Celery), GET /sync/status (all connectors), GET /sync/history/:id (last 20 runs)</t>
        </is>
      </c>
      <c r="E34" s="36" t="inlineStr">
        <is>
          <t>Backend Dev</t>
        </is>
      </c>
      <c r="F34" s="68" t="n">
        <v>46168</v>
      </c>
      <c r="G34" s="68" t="n">
        <v>46169</v>
      </c>
      <c r="H34" s="40" t="inlineStr">
        <is>
          <t>Not Started</t>
        </is>
      </c>
      <c r="I34" s="41" t="inlineStr">
        <is>
          <t>Backend</t>
        </is>
      </c>
      <c r="J34" s="41" t="n">
        <v>5</v>
      </c>
      <c r="K34" s="41" t="n"/>
      <c r="L34" s="36" t="n"/>
    </row>
    <row r="35" ht="42" customHeight="1">
      <c r="A35" s="35" t="inlineStr">
        <is>
          <t>3.8</t>
        </is>
      </c>
      <c r="B35" s="36" t="inlineStr">
        <is>
          <t>Ph3</t>
        </is>
      </c>
      <c r="C35" s="37" t="inlineStr">
        <is>
          <t>LinkedIn Ads OAuth + Sync</t>
        </is>
      </c>
      <c r="D35" s="38" t="inlineStr">
        <is>
          <t>platforms/linkedin.py: get_auth_url, exchange_code, fetch_data. GET /connectors/linkedin_ads/auth + /callback</t>
        </is>
      </c>
      <c r="E35" s="36" t="inlineStr">
        <is>
          <t>Backend Dev</t>
        </is>
      </c>
      <c r="F35" s="68" t="n">
        <v>46172</v>
      </c>
      <c r="G35" s="68" t="n">
        <v>46173</v>
      </c>
      <c r="H35" s="40" t="inlineStr">
        <is>
          <t>Not Started</t>
        </is>
      </c>
      <c r="I35" s="41" t="inlineStr">
        <is>
          <t>Backend</t>
        </is>
      </c>
      <c r="J35" s="41" t="n">
        <v>7</v>
      </c>
      <c r="K35" s="41" t="n"/>
      <c r="L35" s="36" t="n"/>
    </row>
    <row r="36" ht="42" customHeight="1">
      <c r="A36" s="35" t="inlineStr">
        <is>
          <t>3.9</t>
        </is>
      </c>
      <c r="B36" s="36" t="inlineStr">
        <is>
          <t>Ph3</t>
        </is>
      </c>
      <c r="C36" s="37" t="inlineStr">
        <is>
          <t>TikTok Ads OAuth + Sync</t>
        </is>
      </c>
      <c r="D36" s="38" t="inlineStr">
        <is>
          <t>platforms/tiktok.py: TikTok for Business API, OAuth + fetch_data upsert. GET /connectors/tiktok_ads/auth + /callback</t>
        </is>
      </c>
      <c r="E36" s="36" t="inlineStr">
        <is>
          <t>Backend Dev</t>
        </is>
      </c>
      <c r="F36" s="68" t="n">
        <v>46172</v>
      </c>
      <c r="G36" s="68" t="n">
        <v>46173</v>
      </c>
      <c r="H36" s="40" t="inlineStr">
        <is>
          <t>Not Started</t>
        </is>
      </c>
      <c r="I36" s="41" t="inlineStr">
        <is>
          <t>Backend</t>
        </is>
      </c>
      <c r="J36" s="41" t="n">
        <v>7</v>
      </c>
      <c r="K36" s="41" t="n"/>
      <c r="L36" s="36" t="n"/>
    </row>
    <row r="37" ht="42" customHeight="1">
      <c r="A37" s="42" t="inlineStr">
        <is>
          <t>3.10</t>
        </is>
      </c>
      <c r="B37" s="43" t="inlineStr">
        <is>
          <t>Ph3</t>
        </is>
      </c>
      <c r="C37" s="44" t="inlineStr">
        <is>
          <t>Frontend Sync Hooks + UI</t>
        </is>
      </c>
      <c r="D37" s="45" t="inlineStr">
        <is>
          <t>hooks/useSync.ts (useSyncStatus poll 30s, useTriggerSync, useSyncHistory), ConnectorCard trigger btn + live badge</t>
        </is>
      </c>
      <c r="E37" s="43" t="inlineStr">
        <is>
          <t>Frontend Dev</t>
        </is>
      </c>
      <c r="F37" s="69" t="n">
        <v>46170</v>
      </c>
      <c r="G37" s="69" t="n">
        <v>46173</v>
      </c>
      <c r="H37" s="47" t="inlineStr">
        <is>
          <t>Not Started</t>
        </is>
      </c>
      <c r="I37" s="48" t="inlineStr">
        <is>
          <t>Frontend</t>
        </is>
      </c>
      <c r="J37" s="48" t="n">
        <v>5</v>
      </c>
      <c r="K37" s="48" t="n"/>
      <c r="L37" s="43" t="n"/>
    </row>
    <row r="38" ht="42" customHeight="1">
      <c r="A38" s="35" t="inlineStr">
        <is>
          <t>4.1</t>
        </is>
      </c>
      <c r="B38" s="36" t="inlineStr">
        <is>
          <t>Ph4</t>
        </is>
      </c>
      <c r="C38" s="37" t="inlineStr">
        <is>
          <t>GET /reports/overview</t>
        </is>
      </c>
      <c r="D38" s="38" t="inlineStr">
        <is>
          <t>$match + $group + $sum (spend/clicks/impressions/conv/revenue) by platform, period-over-period delta in response</t>
        </is>
      </c>
      <c r="E38" s="36" t="inlineStr">
        <is>
          <t>Backend Dev</t>
        </is>
      </c>
      <c r="F38" s="68" t="n">
        <v>46167</v>
      </c>
      <c r="G38" s="68" t="n">
        <v>46169</v>
      </c>
      <c r="H38" s="40" t="inlineStr">
        <is>
          <t>Not Started</t>
        </is>
      </c>
      <c r="I38" s="41" t="inlineStr">
        <is>
          <t>Backend</t>
        </is>
      </c>
      <c r="J38" s="41" t="n">
        <v>6</v>
      </c>
      <c r="K38" s="41" t="n"/>
      <c r="L38" s="36" t="n"/>
    </row>
    <row r="39" ht="42" customHeight="1">
      <c r="A39" s="35" t="inlineStr">
        <is>
          <t>4.2</t>
        </is>
      </c>
      <c r="B39" s="36" t="inlineStr">
        <is>
          <t>Ph4</t>
        </is>
      </c>
      <c r="C39" s="37" t="inlineStr">
        <is>
          <t>GET /reports/campaigns</t>
        </is>
      </c>
      <c r="D39" s="38" t="inlineStr">
        <is>
          <t>Paginated list (page+limit), filter by platform+date range, sort by spend desc</t>
        </is>
      </c>
      <c r="E39" s="36" t="inlineStr">
        <is>
          <t>Backend Dev</t>
        </is>
      </c>
      <c r="F39" s="68" t="n">
        <v>46169</v>
      </c>
      <c r="G39" s="68" t="n">
        <v>46171</v>
      </c>
      <c r="H39" s="40" t="inlineStr">
        <is>
          <t>Not Started</t>
        </is>
      </c>
      <c r="I39" s="41" t="inlineStr">
        <is>
          <t>Backend</t>
        </is>
      </c>
      <c r="J39" s="41" t="n">
        <v>5</v>
      </c>
      <c r="K39" s="41" t="n"/>
      <c r="L39" s="36" t="n"/>
    </row>
    <row r="40" ht="42" customHeight="1">
      <c r="A40" s="35" t="inlineStr">
        <is>
          <t>4.3</t>
        </is>
      </c>
      <c r="B40" s="36" t="inlineStr">
        <is>
          <t>Ph4</t>
        </is>
      </c>
      <c r="C40" s="37" t="inlineStr">
        <is>
          <t>GET /reports/trend</t>
        </is>
      </c>
      <c r="D40" s="38" t="inlineStr">
        <is>
          <t>Daily/weekly time-series: $group by date, metric selector (spend/clicks/roas etc.)</t>
        </is>
      </c>
      <c r="E40" s="36" t="inlineStr">
        <is>
          <t>Backend Dev</t>
        </is>
      </c>
      <c r="F40" s="68" t="n">
        <v>46171</v>
      </c>
      <c r="G40" s="68" t="n">
        <v>46173</v>
      </c>
      <c r="H40" s="40" t="inlineStr">
        <is>
          <t>Not Started</t>
        </is>
      </c>
      <c r="I40" s="41" t="inlineStr">
        <is>
          <t>Backend</t>
        </is>
      </c>
      <c r="J40" s="41" t="n">
        <v>5</v>
      </c>
      <c r="K40" s="41" t="n"/>
      <c r="L40" s="36" t="n"/>
    </row>
    <row r="41" ht="42" customHeight="1">
      <c r="A41" s="35" t="inlineStr">
        <is>
          <t>4.4</t>
        </is>
      </c>
      <c r="B41" s="36" t="inlineStr">
        <is>
          <t>Ph4</t>
        </is>
      </c>
      <c r="C41" s="37" t="inlineStr">
        <is>
          <t>POST /reports/custom</t>
        </is>
      </c>
      <c r="D41" s="38" t="inlineStr">
        <is>
          <t>Body: {metrics, dimensions, filters, chart_type} -&gt; dynamic aggregation pipeline -&gt; execute -&gt; return result</t>
        </is>
      </c>
      <c r="E41" s="36" t="inlineStr">
        <is>
          <t>Backend Dev</t>
        </is>
      </c>
      <c r="F41" s="68" t="n">
        <v>46174</v>
      </c>
      <c r="G41" s="68" t="n">
        <v>46176</v>
      </c>
      <c r="H41" s="40" t="inlineStr">
        <is>
          <t>Not Started</t>
        </is>
      </c>
      <c r="I41" s="41" t="inlineStr">
        <is>
          <t>Backend</t>
        </is>
      </c>
      <c r="J41" s="41" t="n">
        <v>6</v>
      </c>
      <c r="K41" s="41" t="n"/>
      <c r="L41" s="36" t="n"/>
    </row>
    <row r="42" ht="42" customHeight="1">
      <c r="A42" s="35" t="inlineStr">
        <is>
          <t>4.5</t>
        </is>
      </c>
      <c r="B42" s="36" t="inlineStr">
        <is>
          <t>Ph4</t>
        </is>
      </c>
      <c r="C42" s="37" t="inlineStr">
        <is>
          <t>Saved Reports CRUD</t>
        </is>
      </c>
      <c r="D42" s="38" t="inlineStr">
        <is>
          <t>models/report.py, GET/POST/GET:id/DELETE /reports/saved -- persist custom report params + chart_type for replay</t>
        </is>
      </c>
      <c r="E42" s="36" t="inlineStr">
        <is>
          <t>Backend Dev</t>
        </is>
      </c>
      <c r="F42" s="68" t="n">
        <v>46176</v>
      </c>
      <c r="G42" s="68" t="n">
        <v>46178</v>
      </c>
      <c r="H42" s="40" t="inlineStr">
        <is>
          <t>Not Started</t>
        </is>
      </c>
      <c r="I42" s="41" t="inlineStr">
        <is>
          <t>Backend</t>
        </is>
      </c>
      <c r="J42" s="41" t="n">
        <v>6</v>
      </c>
      <c r="K42" s="41" t="n"/>
      <c r="L42" s="36" t="n"/>
    </row>
    <row r="43" ht="42" customHeight="1">
      <c r="A43" s="35" t="inlineStr">
        <is>
          <t>4.6</t>
        </is>
      </c>
      <c r="B43" s="36" t="inlineStr">
        <is>
          <t>Ph4</t>
        </is>
      </c>
      <c r="C43" s="37" t="inlineStr">
        <is>
          <t>CSV Export</t>
        </is>
      </c>
      <c r="D43" s="38" t="inlineStr">
        <is>
          <t>GET /reports/export?format=csv -- StreamingResponse CSV from same aggregation as /custom</t>
        </is>
      </c>
      <c r="E43" s="36" t="inlineStr">
        <is>
          <t>Backend Dev</t>
        </is>
      </c>
      <c r="F43" s="68" t="n">
        <v>46178</v>
      </c>
      <c r="G43" s="68" t="n">
        <v>46178</v>
      </c>
      <c r="H43" s="40" t="inlineStr">
        <is>
          <t>Not Started</t>
        </is>
      </c>
      <c r="I43" s="41" t="inlineStr">
        <is>
          <t>Backend</t>
        </is>
      </c>
      <c r="J43" s="41" t="n">
        <v>3</v>
      </c>
      <c r="K43" s="41" t="n"/>
      <c r="L43" s="36" t="n"/>
    </row>
    <row r="44" ht="42" customHeight="1">
      <c r="A44" s="42" t="inlineStr">
        <is>
          <t>4.7</t>
        </is>
      </c>
      <c r="B44" s="43" t="inlineStr">
        <is>
          <t>Ph4</t>
        </is>
      </c>
      <c r="C44" s="44" t="inlineStr">
        <is>
          <t>Frontend Types + Hooks</t>
        </is>
      </c>
      <c r="D44" s="45" t="inlineStr">
        <is>
          <t>types/report.ts + types/campaign.ts, hooks/useReports.ts (overview/trend/custom/saved), hooks/useCampaigns.ts</t>
        </is>
      </c>
      <c r="E44" s="43" t="inlineStr">
        <is>
          <t>Frontend Dev</t>
        </is>
      </c>
      <c r="F44" s="69" t="n">
        <v>46175</v>
      </c>
      <c r="G44" s="69" t="n">
        <v>46177</v>
      </c>
      <c r="H44" s="47" t="inlineStr">
        <is>
          <t>Not Started</t>
        </is>
      </c>
      <c r="I44" s="48" t="inlineStr">
        <is>
          <t>Frontend</t>
        </is>
      </c>
      <c r="J44" s="48" t="n">
        <v>5</v>
      </c>
      <c r="K44" s="48" t="n"/>
      <c r="L44" s="43" t="n"/>
    </row>
    <row r="45" ht="42" customHeight="1">
      <c r="A45" s="42" t="inlineStr">
        <is>
          <t>4.8</t>
        </is>
      </c>
      <c r="B45" s="43" t="inlineStr">
        <is>
          <t>Ph4</t>
        </is>
      </c>
      <c r="C45" s="44" t="inlineStr">
        <is>
          <t>Shared UI -- Third Batch</t>
        </is>
      </c>
      <c r="D45" s="45" t="inlineStr">
        <is>
          <t>DataTable (sortable, mobile-collapse), Pagination, SearchInput (debounced), DateRangePicker, KpiCard -- log in componentsHistory.md</t>
        </is>
      </c>
      <c r="E45" s="43" t="inlineStr">
        <is>
          <t>Frontend Dev</t>
        </is>
      </c>
      <c r="F45" s="69" t="n">
        <v>46174</v>
      </c>
      <c r="G45" s="69" t="n">
        <v>46177</v>
      </c>
      <c r="H45" s="47" t="inlineStr">
        <is>
          <t>Not Started</t>
        </is>
      </c>
      <c r="I45" s="48" t="inlineStr">
        <is>
          <t>Frontend</t>
        </is>
      </c>
      <c r="J45" s="48" t="n">
        <v>8</v>
      </c>
      <c r="K45" s="48" t="n"/>
      <c r="L45" s="43" t="n"/>
    </row>
    <row r="46" ht="42" customHeight="1">
      <c r="A46" s="42" t="inlineStr">
        <is>
          <t>4.9</t>
        </is>
      </c>
      <c r="B46" s="43" t="inlineStr">
        <is>
          <t>Ph4</t>
        </is>
      </c>
      <c r="C46" s="44" t="inlineStr">
        <is>
          <t>Chart Components</t>
        </is>
      </c>
      <c r="D46" s="45" t="inlineStr">
        <is>
          <t>SpendTrendChart (line), PlatformDonut (pie), CampaignBarChart (bar), RoasGauge (radial) -- fadeVariants on mount</t>
        </is>
      </c>
      <c r="E46" s="43" t="inlineStr">
        <is>
          <t>Frontend Dev</t>
        </is>
      </c>
      <c r="F46" s="69" t="n">
        <v>46177</v>
      </c>
      <c r="G46" s="69" t="n">
        <v>46180</v>
      </c>
      <c r="H46" s="47" t="inlineStr">
        <is>
          <t>Not Started</t>
        </is>
      </c>
      <c r="I46" s="48" t="inlineStr">
        <is>
          <t>Frontend</t>
        </is>
      </c>
      <c r="J46" s="48" t="n">
        <v>8</v>
      </c>
      <c r="K46" s="48" t="n"/>
      <c r="L46" s="43" t="n"/>
    </row>
    <row r="47" ht="42" customHeight="1">
      <c r="A47" s="42" t="inlineStr">
        <is>
          <t>5.1</t>
        </is>
      </c>
      <c r="B47" s="43" t="inlineStr">
        <is>
          <t>Ph5</t>
        </is>
      </c>
      <c r="C47" s="44" t="inlineStr">
        <is>
          <t>App Layout Shell</t>
        </is>
      </c>
      <c r="D47" s="45" t="inlineStr">
        <is>
          <t>Sidebar.tsx (collapsible, active border-l-2, whileHover x:2), Header.tsx (ThemeToggle+avatar), (dashboard)/layout.tsx, uiStore.ts</t>
        </is>
      </c>
      <c r="E47" s="43" t="inlineStr">
        <is>
          <t>Frontend Dev</t>
        </is>
      </c>
      <c r="F47" s="69" t="n">
        <v>46174</v>
      </c>
      <c r="G47" s="69" t="n">
        <v>46176</v>
      </c>
      <c r="H47" s="47" t="inlineStr">
        <is>
          <t>Not Started</t>
        </is>
      </c>
      <c r="I47" s="48" t="inlineStr">
        <is>
          <t>Frontend</t>
        </is>
      </c>
      <c r="J47" s="48" t="n">
        <v>8</v>
      </c>
      <c r="K47" s="48" t="n"/>
      <c r="L47" s="43" t="n"/>
    </row>
    <row r="48" ht="42" customHeight="1">
      <c r="A48" s="42" t="inlineStr">
        <is>
          <t>5.2</t>
        </is>
      </c>
      <c r="B48" s="43" t="inlineStr">
        <is>
          <t>Ph5</t>
        </is>
      </c>
      <c r="C48" s="44" t="inlineStr">
        <is>
          <t>Overview Page</t>
        </is>
      </c>
      <c r="D48" s="45" t="inlineStr">
        <is>
          <t>OverviewGrid.tsx (6 KpiCards stagger), overview/page.tsx: KPI grid + SpendTrendChart + PlatformDonut + campaigns DataTable</t>
        </is>
      </c>
      <c r="E48" s="43" t="inlineStr">
        <is>
          <t>Frontend Dev</t>
        </is>
      </c>
      <c r="F48" s="69" t="n">
        <v>46176</v>
      </c>
      <c r="G48" s="69" t="n">
        <v>46180</v>
      </c>
      <c r="H48" s="47" t="inlineStr">
        <is>
          <t>Not Started</t>
        </is>
      </c>
      <c r="I48" s="48" t="inlineStr">
        <is>
          <t>Frontend</t>
        </is>
      </c>
      <c r="J48" s="48" t="n">
        <v>8</v>
      </c>
      <c r="K48" s="48" t="n"/>
      <c r="L48" s="43" t="n"/>
    </row>
    <row r="49" ht="42" customHeight="1">
      <c r="A49" s="42" t="inlineStr">
        <is>
          <t>5.3</t>
        </is>
      </c>
      <c r="B49" s="43" t="inlineStr">
        <is>
          <t>Ph5</t>
        </is>
      </c>
      <c r="C49" s="44" t="inlineStr">
        <is>
          <t>Campaigns Page</t>
        </is>
      </c>
      <c r="D49" s="45" t="inlineStr">
        <is>
          <t>campaigns/page.tsx: DataTable + Pagination + DateRangePicker + platform filter + SearchInput</t>
        </is>
      </c>
      <c r="E49" s="43" t="inlineStr">
        <is>
          <t>Frontend Dev</t>
        </is>
      </c>
      <c r="F49" s="69" t="n">
        <v>46180</v>
      </c>
      <c r="G49" s="69" t="n">
        <v>46182</v>
      </c>
      <c r="H49" s="47" t="inlineStr">
        <is>
          <t>Not Started</t>
        </is>
      </c>
      <c r="I49" s="48" t="inlineStr">
        <is>
          <t>Frontend</t>
        </is>
      </c>
      <c r="J49" s="48" t="n">
        <v>5</v>
      </c>
      <c r="K49" s="48" t="n"/>
      <c r="L49" s="43" t="n"/>
    </row>
    <row r="50" ht="42" customHeight="1">
      <c r="A50" s="42" t="inlineStr">
        <is>
          <t>5.4</t>
        </is>
      </c>
      <c r="B50" s="43" t="inlineStr">
        <is>
          <t>Ph5</t>
        </is>
      </c>
      <c r="C50" s="44" t="inlineStr">
        <is>
          <t>Report Builder</t>
        </is>
      </c>
      <c r="D50" s="45" t="inlineStr">
        <is>
          <t>MetricSelector.tsx (multi-select), FilterPanel.tsx (platform+date+dims), ReportBuilder.tsx (chart toggle + save) -- RHF+Zod</t>
        </is>
      </c>
      <c r="E50" s="43" t="inlineStr">
        <is>
          <t>Frontend Dev</t>
        </is>
      </c>
      <c r="F50" s="69" t="n">
        <v>46181</v>
      </c>
      <c r="G50" s="69" t="n">
        <v>46185</v>
      </c>
      <c r="H50" s="47" t="inlineStr">
        <is>
          <t>Not Started</t>
        </is>
      </c>
      <c r="I50" s="48" t="inlineStr">
        <is>
          <t>Frontend</t>
        </is>
      </c>
      <c r="J50" s="48" t="n">
        <v>10</v>
      </c>
      <c r="K50" s="48" t="n"/>
      <c r="L50" s="43" t="n"/>
    </row>
    <row r="51" ht="42" customHeight="1">
      <c r="A51" s="42" t="inlineStr">
        <is>
          <t>5.5</t>
        </is>
      </c>
      <c r="B51" s="43" t="inlineStr">
        <is>
          <t>Ph5</t>
        </is>
      </c>
      <c r="C51" s="44" t="inlineStr">
        <is>
          <t>Reports Pages</t>
        </is>
      </c>
      <c r="D51" s="45" t="inlineStr">
        <is>
          <t>reports/page.tsx (saved list + ReportBuilder), reports/[id]/page.tsx (saved detail), CSV export download button</t>
        </is>
      </c>
      <c r="E51" s="43" t="inlineStr">
        <is>
          <t>Frontend Dev</t>
        </is>
      </c>
      <c r="F51" s="69" t="n">
        <v>46185</v>
      </c>
      <c r="G51" s="69" t="n">
        <v>46187</v>
      </c>
      <c r="H51" s="47" t="inlineStr">
        <is>
          <t>Not Started</t>
        </is>
      </c>
      <c r="I51" s="48" t="inlineStr">
        <is>
          <t>Frontend</t>
        </is>
      </c>
      <c r="J51" s="48" t="n">
        <v>6</v>
      </c>
      <c r="K51" s="48" t="n"/>
      <c r="L51" s="43" t="n"/>
    </row>
    <row r="52" ht="42" customHeight="1">
      <c r="A52" s="35" t="inlineStr">
        <is>
          <t>6.1</t>
        </is>
      </c>
      <c r="B52" s="36" t="inlineStr">
        <is>
          <t>Ph6</t>
        </is>
      </c>
      <c r="C52" s="37" t="inlineStr">
        <is>
          <t>AI Pipeline Generator</t>
        </is>
      </c>
      <c r="D52" s="38" t="inlineStr">
        <is>
          <t>ai_service.py: generate_pipeline(question, schema, user_id) -&gt; Claude (claude-sonnet-4-6) -&gt; validated aggregation array</t>
        </is>
      </c>
      <c r="E52" s="36" t="inlineStr">
        <is>
          <t>AI Dev</t>
        </is>
      </c>
      <c r="F52" s="68" t="n">
        <v>46181</v>
      </c>
      <c r="G52" s="68" t="n">
        <v>46184</v>
      </c>
      <c r="H52" s="40" t="inlineStr">
        <is>
          <t>Not Started</t>
        </is>
      </c>
      <c r="I52" s="41" t="inlineStr">
        <is>
          <t>Backend</t>
        </is>
      </c>
      <c r="J52" s="41" t="n">
        <v>8</v>
      </c>
      <c r="K52" s="41" t="n"/>
      <c r="L52" s="36" t="n"/>
    </row>
    <row r="53" ht="42" customHeight="1">
      <c r="A53" s="35" t="inlineStr">
        <is>
          <t>6.2</t>
        </is>
      </c>
      <c r="B53" s="36" t="inlineStr">
        <is>
          <t>Ph6</t>
        </is>
      </c>
      <c r="C53" s="37" t="inlineStr">
        <is>
          <t>AI Executor + Explainer</t>
        </is>
      </c>
      <c r="D53" s="38" t="inlineStr">
        <is>
          <t>Execute pipeline on marketing_data, second Claude call for plain-English explanation, persist {question, pipeline, result, explanation}</t>
        </is>
      </c>
      <c r="E53" s="36" t="inlineStr">
        <is>
          <t>AI Dev</t>
        </is>
      </c>
      <c r="F53" s="68" t="n">
        <v>46184</v>
      </c>
      <c r="G53" s="68" t="n">
        <v>46186</v>
      </c>
      <c r="H53" s="40" t="inlineStr">
        <is>
          <t>Not Started</t>
        </is>
      </c>
      <c r="I53" s="41" t="inlineStr">
        <is>
          <t>Backend</t>
        </is>
      </c>
      <c r="J53" s="41" t="n">
        <v>6</v>
      </c>
      <c r="K53" s="41" t="n"/>
      <c r="L53" s="36" t="n"/>
    </row>
    <row r="54" ht="42" customHeight="1">
      <c r="A54" s="35" t="inlineStr">
        <is>
          <t>6.3</t>
        </is>
      </c>
      <c r="B54" s="36" t="inlineStr">
        <is>
          <t>Ph6</t>
        </is>
      </c>
      <c r="C54" s="37" t="inlineStr">
        <is>
          <t>AI Endpoints</t>
        </is>
      </c>
      <c r="D54" s="38" t="inlineStr">
        <is>
          <t>POST /ai/query (validate + call ai_service), GET /ai/history (paginated past queries per user)</t>
        </is>
      </c>
      <c r="E54" s="36" t="inlineStr">
        <is>
          <t>AI Dev</t>
        </is>
      </c>
      <c r="F54" s="68" t="n">
        <v>46186</v>
      </c>
      <c r="G54" s="68" t="n">
        <v>46187</v>
      </c>
      <c r="H54" s="40" t="inlineStr">
        <is>
          <t>Not Started</t>
        </is>
      </c>
      <c r="I54" s="41" t="inlineStr">
        <is>
          <t>Backend</t>
        </is>
      </c>
      <c r="J54" s="41" t="n">
        <v>3</v>
      </c>
      <c r="K54" s="41" t="n"/>
      <c r="L54" s="36" t="n"/>
    </row>
    <row r="55" ht="42" customHeight="1">
      <c r="A55" s="42" t="inlineStr">
        <is>
          <t>6.4</t>
        </is>
      </c>
      <c r="B55" s="43" t="inlineStr">
        <is>
          <t>Ph6</t>
        </is>
      </c>
      <c r="C55" s="44" t="inlineStr">
        <is>
          <t>Frontend AI Hook</t>
        </is>
      </c>
      <c r="D55" s="45" t="inlineStr">
        <is>
          <t>hooks/useAi.ts: useAiQuery (mutation), useAiHistory (query with [ai, history] RQ key)</t>
        </is>
      </c>
      <c r="E55" s="43" t="inlineStr">
        <is>
          <t>Frontend Dev</t>
        </is>
      </c>
      <c r="F55" s="69" t="n">
        <v>46188</v>
      </c>
      <c r="G55" s="69" t="n">
        <v>46188</v>
      </c>
      <c r="H55" s="47" t="inlineStr">
        <is>
          <t>Not Started</t>
        </is>
      </c>
      <c r="I55" s="48" t="inlineStr">
        <is>
          <t>Frontend</t>
        </is>
      </c>
      <c r="J55" s="48" t="n">
        <v>3</v>
      </c>
      <c r="K55" s="48" t="n"/>
      <c r="L55" s="43" t="n"/>
    </row>
    <row r="56" ht="42" customHeight="1">
      <c r="A56" s="42" t="inlineStr">
        <is>
          <t>6.5</t>
        </is>
      </c>
      <c r="B56" s="43" t="inlineStr">
        <is>
          <t>Ph6</t>
        </is>
      </c>
      <c r="C56" s="44" t="inlineStr">
        <is>
          <t>AI Panel + Result Card</t>
        </is>
      </c>
      <c r="D56" s="45" t="inlineStr">
        <is>
          <t>AiQueryPanel.tsx (NL input + history sidebar), AiResultCard.tsx (explanation + collapsible pipeline + Recharts auto-chart)</t>
        </is>
      </c>
      <c r="E56" s="43" t="inlineStr">
        <is>
          <t>Frontend Dev</t>
        </is>
      </c>
      <c r="F56" s="69" t="n">
        <v>46188</v>
      </c>
      <c r="G56" s="69" t="n">
        <v>46193</v>
      </c>
      <c r="H56" s="47" t="inlineStr">
        <is>
          <t>Not Started</t>
        </is>
      </c>
      <c r="I56" s="48" t="inlineStr">
        <is>
          <t>Frontend</t>
        </is>
      </c>
      <c r="J56" s="48" t="n">
        <v>10</v>
      </c>
      <c r="K56" s="48" t="n"/>
      <c r="L56" s="43" t="n"/>
    </row>
    <row r="57" ht="42" customHeight="1">
      <c r="A57" s="42" t="inlineStr">
        <is>
          <t>6.6</t>
        </is>
      </c>
      <c r="B57" s="43" t="inlineStr">
        <is>
          <t>Ph6</t>
        </is>
      </c>
      <c r="C57" s="44" t="inlineStr">
        <is>
          <t>AI Page</t>
        </is>
      </c>
      <c r="D57" s="45" t="inlineStr">
        <is>
          <t>app/(dashboard)/ai/page.tsx -- AiQueryPanel + AiResultCard, pageVariants entry animation</t>
        </is>
      </c>
      <c r="E57" s="43" t="inlineStr">
        <is>
          <t>Frontend Dev</t>
        </is>
      </c>
      <c r="F57" s="69" t="n">
        <v>46193</v>
      </c>
      <c r="G57" s="69" t="n">
        <v>46194</v>
      </c>
      <c r="H57" s="47" t="inlineStr">
        <is>
          <t>Not Started</t>
        </is>
      </c>
      <c r="I57" s="48" t="inlineStr">
        <is>
          <t>Frontend</t>
        </is>
      </c>
      <c r="J57" s="48" t="n">
        <v>3</v>
      </c>
      <c r="K57" s="48" t="n"/>
      <c r="L57" s="43" t="n"/>
    </row>
    <row r="58" ht="42" customHeight="1">
      <c r="A58" s="35" t="inlineStr">
        <is>
          <t>7.1</t>
        </is>
      </c>
      <c r="B58" s="36" t="inlineStr">
        <is>
          <t>Ph7</t>
        </is>
      </c>
      <c r="C58" s="37" t="inlineStr">
        <is>
          <t>Profile + Password Endpoints</t>
        </is>
      </c>
      <c r="D58" s="38" t="inlineStr">
        <is>
          <t>PUT /auth/me (update name/email), PUT /auth/password (verify current, hash new, revoke active refresh tokens)</t>
        </is>
      </c>
      <c r="E58" s="36" t="inlineStr">
        <is>
          <t>Backend Dev</t>
        </is>
      </c>
      <c r="F58" s="68" t="n">
        <v>46188</v>
      </c>
      <c r="G58" s="68" t="n">
        <v>46189</v>
      </c>
      <c r="H58" s="40" t="inlineStr">
        <is>
          <t>Not Started</t>
        </is>
      </c>
      <c r="I58" s="41" t="inlineStr">
        <is>
          <t>Backend</t>
        </is>
      </c>
      <c r="J58" s="41" t="n">
        <v>5</v>
      </c>
      <c r="K58" s="41" t="n"/>
      <c r="L58" s="36" t="n"/>
    </row>
    <row r="59" ht="42" customHeight="1">
      <c r="A59" s="35" t="inlineStr">
        <is>
          <t>7.2</t>
        </is>
      </c>
      <c r="B59" s="36" t="inlineStr">
        <is>
          <t>Ph7</t>
        </is>
      </c>
      <c r="C59" s="37" t="inlineStr">
        <is>
          <t>Notifications Backend</t>
        </is>
      </c>
      <c r="D59" s="38" t="inlineStr">
        <is>
          <t>models/notification.py, emit on sync success/error in sync_tasks.py, GET /notifications + PATCH :id/read + POST /read-all</t>
        </is>
      </c>
      <c r="E59" s="36" t="inlineStr">
        <is>
          <t>Backend Dev</t>
        </is>
      </c>
      <c r="F59" s="68" t="n">
        <v>46189</v>
      </c>
      <c r="G59" s="68" t="n">
        <v>46192</v>
      </c>
      <c r="H59" s="40" t="inlineStr">
        <is>
          <t>Not Started</t>
        </is>
      </c>
      <c r="I59" s="41" t="inlineStr">
        <is>
          <t>Backend</t>
        </is>
      </c>
      <c r="J59" s="41" t="n">
        <v>8</v>
      </c>
      <c r="K59" s="41" t="n"/>
      <c r="L59" s="36" t="n"/>
    </row>
    <row r="60" ht="42" customHeight="1">
      <c r="A60" s="49" t="inlineStr">
        <is>
          <t>7.3</t>
        </is>
      </c>
      <c r="B60" s="50" t="inlineStr">
        <is>
          <t>Ph7</t>
        </is>
      </c>
      <c r="C60" s="51" t="inlineStr">
        <is>
          <t>Settings Page</t>
        </is>
      </c>
      <c r="D60" s="52" t="inlineStr">
        <is>
          <t>settings/page.tsx: Profile + Password + Plan badge + API key (read-only) -- shadcn Tabs, RHF+Zod, Sonner toasts</t>
        </is>
      </c>
      <c r="E60" s="50" t="inlineStr">
        <is>
          <t>Full Stack Dev</t>
        </is>
      </c>
      <c r="F60" s="70" t="n">
        <v>46190</v>
      </c>
      <c r="G60" s="70" t="n">
        <v>46193</v>
      </c>
      <c r="H60" s="54" t="inlineStr">
        <is>
          <t>Not Started</t>
        </is>
      </c>
      <c r="I60" s="55" t="inlineStr">
        <is>
          <t>Full Stack</t>
        </is>
      </c>
      <c r="J60" s="55" t="n">
        <v>7</v>
      </c>
      <c r="K60" s="55" t="n"/>
      <c r="L60" s="50" t="n"/>
    </row>
    <row r="61" ht="42" customHeight="1">
      <c r="A61" s="42" t="inlineStr">
        <is>
          <t>7.4</t>
        </is>
      </c>
      <c r="B61" s="43" t="inlineStr">
        <is>
          <t>Ph7</t>
        </is>
      </c>
      <c r="C61" s="44" t="inlineStr">
        <is>
          <t>Notification Bell</t>
        </is>
      </c>
      <c r="D61" s="45" t="inlineStr">
        <is>
          <t>NotificationBell.tsx in Header: unread badge, dropdown list, poll /notifications 60s, Sonner on new sync events</t>
        </is>
      </c>
      <c r="E61" s="43" t="inlineStr">
        <is>
          <t>Frontend Dev</t>
        </is>
      </c>
      <c r="F61" s="69" t="n">
        <v>46193</v>
      </c>
      <c r="G61" s="69" t="n">
        <v>46194</v>
      </c>
      <c r="H61" s="47" t="inlineStr">
        <is>
          <t>Not Started</t>
        </is>
      </c>
      <c r="I61" s="48" t="inlineStr">
        <is>
          <t>Frontend</t>
        </is>
      </c>
      <c r="J61" s="48" t="n">
        <v>5</v>
      </c>
      <c r="K61" s="48" t="n"/>
      <c r="L61" s="43" t="n"/>
    </row>
    <row r="62" ht="42" customHeight="1">
      <c r="A62" s="28" t="inlineStr">
        <is>
          <t>8.1</t>
        </is>
      </c>
      <c r="B62" s="29" t="inlineStr">
        <is>
          <t>Ph8</t>
        </is>
      </c>
      <c r="C62" s="30" t="inlineStr">
        <is>
          <t>Docker Compose Full Stack</t>
        </is>
      </c>
      <c r="D62" s="31" t="inlineStr">
        <is>
          <t>All 6 services (backend, celery-worker, celery-beat, mongo, redis, frontend) with healthchecks + volume mounts</t>
        </is>
      </c>
      <c r="E62" s="29" t="inlineStr">
        <is>
          <t>DevOps</t>
        </is>
      </c>
      <c r="F62" s="67" t="n">
        <v>46195</v>
      </c>
      <c r="G62" s="67" t="n">
        <v>46196</v>
      </c>
      <c r="H62" s="33" t="inlineStr">
        <is>
          <t>Not Started</t>
        </is>
      </c>
      <c r="I62" s="34" t="inlineStr">
        <is>
          <t>Infra</t>
        </is>
      </c>
      <c r="J62" s="34" t="n">
        <v>8</v>
      </c>
      <c r="K62" s="34" t="n"/>
      <c r="L62" s="29" t="n"/>
    </row>
    <row r="63" ht="42" customHeight="1">
      <c r="A63" s="28" t="inlineStr">
        <is>
          <t>8.2</t>
        </is>
      </c>
      <c r="B63" s="29" t="inlineStr">
        <is>
          <t>Ph8</t>
        </is>
      </c>
      <c r="C63" s="30" t="inlineStr">
        <is>
          <t>Backend Dockerfile</t>
        </is>
      </c>
      <c r="D63" s="31" t="inlineStr">
        <is>
          <t>Multi-stage build, non-root user, uvicorn+gunicorn workers, .dockerignore</t>
        </is>
      </c>
      <c r="E63" s="29" t="inlineStr">
        <is>
          <t>DevOps</t>
        </is>
      </c>
      <c r="F63" s="67" t="n">
        <v>46195</v>
      </c>
      <c r="G63" s="67" t="n">
        <v>46195</v>
      </c>
      <c r="H63" s="33" t="inlineStr">
        <is>
          <t>Not Started</t>
        </is>
      </c>
      <c r="I63" s="34" t="inlineStr">
        <is>
          <t>Infra</t>
        </is>
      </c>
      <c r="J63" s="34" t="n">
        <v>4</v>
      </c>
      <c r="K63" s="34" t="n"/>
      <c r="L63" s="29" t="n"/>
    </row>
    <row r="64" ht="42" customHeight="1">
      <c r="A64" s="28" t="inlineStr">
        <is>
          <t>8.3</t>
        </is>
      </c>
      <c r="B64" s="29" t="inlineStr">
        <is>
          <t>Ph8</t>
        </is>
      </c>
      <c r="C64" s="30" t="inlineStr">
        <is>
          <t>Frontend Dockerfile</t>
        </is>
      </c>
      <c r="D64" s="31" t="inlineStr">
        <is>
          <t>Next.js standalone output build, next start runtime, .dockerignore (exclude node_modules, .next/cache)</t>
        </is>
      </c>
      <c r="E64" s="29" t="inlineStr">
        <is>
          <t>DevOps</t>
        </is>
      </c>
      <c r="F64" s="67" t="n">
        <v>46195</v>
      </c>
      <c r="G64" s="67" t="n">
        <v>46195</v>
      </c>
      <c r="H64" s="33" t="inlineStr">
        <is>
          <t>Not Started</t>
        </is>
      </c>
      <c r="I64" s="34" t="inlineStr">
        <is>
          <t>Infra</t>
        </is>
      </c>
      <c r="J64" s="34" t="n">
        <v>3</v>
      </c>
      <c r="K64" s="34" t="n"/>
      <c r="L64" s="29" t="n"/>
    </row>
    <row r="65" ht="42" customHeight="1">
      <c r="A65" s="28" t="inlineStr">
        <is>
          <t>8.4</t>
        </is>
      </c>
      <c r="B65" s="29" t="inlineStr">
        <is>
          <t>Ph8</t>
        </is>
      </c>
      <c r="C65" s="30" t="inlineStr">
        <is>
          <t>Railway Deploy (Backend)</t>
        </is>
      </c>
      <c r="D65" s="31" t="inlineStr">
        <is>
          <t>Two services: web (FastAPI) + worker (Celery+Beat), env vars from Railway secrets, health check on /health</t>
        </is>
      </c>
      <c r="E65" s="29" t="inlineStr">
        <is>
          <t>DevOps</t>
        </is>
      </c>
      <c r="F65" s="67" t="n">
        <v>46196</v>
      </c>
      <c r="G65" s="67" t="n">
        <v>46198</v>
      </c>
      <c r="H65" s="33" t="inlineStr">
        <is>
          <t>Not Started</t>
        </is>
      </c>
      <c r="I65" s="34" t="inlineStr">
        <is>
          <t>Infra</t>
        </is>
      </c>
      <c r="J65" s="34" t="n">
        <v>8</v>
      </c>
      <c r="K65" s="34" t="n"/>
      <c r="L65" s="29" t="n"/>
    </row>
    <row r="66" ht="42" customHeight="1">
      <c r="A66" s="28" t="inlineStr">
        <is>
          <t>8.5</t>
        </is>
      </c>
      <c r="B66" s="29" t="inlineStr">
        <is>
          <t>Ph8</t>
        </is>
      </c>
      <c r="C66" s="30" t="inlineStr">
        <is>
          <t>Vercel Deploy (Frontend)</t>
        </is>
      </c>
      <c r="D66" s="31" t="inlineStr">
        <is>
          <t>Connect repo to Vercel, set NEXT_PUBLIC_API_URL to Railway URL, preview + production environments</t>
        </is>
      </c>
      <c r="E66" s="29" t="inlineStr">
        <is>
          <t>DevOps</t>
        </is>
      </c>
      <c r="F66" s="67" t="n">
        <v>46196</v>
      </c>
      <c r="G66" s="67" t="n">
        <v>46197</v>
      </c>
      <c r="H66" s="33" t="inlineStr">
        <is>
          <t>Not Started</t>
        </is>
      </c>
      <c r="I66" s="34" t="inlineStr">
        <is>
          <t>Infra</t>
        </is>
      </c>
      <c r="J66" s="34" t="n">
        <v>4</v>
      </c>
      <c r="K66" s="34" t="n"/>
      <c r="L66" s="29" t="n"/>
    </row>
    <row r="67" ht="42" customHeight="1">
      <c r="A67" s="28" t="inlineStr">
        <is>
          <t>8.6</t>
        </is>
      </c>
      <c r="B67" s="29" t="inlineStr">
        <is>
          <t>Ph8</t>
        </is>
      </c>
      <c r="C67" s="30" t="inlineStr">
        <is>
          <t>Managed Data Plane</t>
        </is>
      </c>
      <c r="D67" s="31" t="inlineStr">
        <is>
          <t>MongoDB Atlas M0 cluster + IP allowlist, Upstash Redis instance + URL wired into Railway env vars</t>
        </is>
      </c>
      <c r="E67" s="29" t="inlineStr">
        <is>
          <t>DevOps</t>
        </is>
      </c>
      <c r="F67" s="67" t="n">
        <v>46197</v>
      </c>
      <c r="G67" s="67" t="n">
        <v>46198</v>
      </c>
      <c r="H67" s="33" t="inlineStr">
        <is>
          <t>Not Started</t>
        </is>
      </c>
      <c r="I67" s="34" t="inlineStr">
        <is>
          <t>Infra</t>
        </is>
      </c>
      <c r="J67" s="34" t="n">
        <v>4</v>
      </c>
      <c r="K67" s="34" t="n"/>
      <c r="L67" s="29" t="n"/>
    </row>
    <row r="68" ht="42" customHeight="1">
      <c r="A68" s="28" t="inlineStr">
        <is>
          <t>8.7</t>
        </is>
      </c>
      <c r="B68" s="29" t="inlineStr">
        <is>
          <t>Ph8</t>
        </is>
      </c>
      <c r="C68" s="30" t="inlineStr">
        <is>
          <t>Observability</t>
        </is>
      </c>
      <c r="D68" s="31" t="inlineStr">
        <is>
          <t>Sentry SDK backend (sentry_sdk[fastapi]) + frontend (@sentry/nextjs), UptimeRobot monitor on /health endpoint</t>
        </is>
      </c>
      <c r="E68" s="29" t="inlineStr">
        <is>
          <t>DevOps</t>
        </is>
      </c>
      <c r="F68" s="67" t="n">
        <v>46198</v>
      </c>
      <c r="G68" s="67" t="n">
        <v>46200</v>
      </c>
      <c r="H68" s="33" t="inlineStr">
        <is>
          <t>Not Started</t>
        </is>
      </c>
      <c r="I68" s="34" t="inlineStr">
        <is>
          <t>Infra</t>
        </is>
      </c>
      <c r="J68" s="34" t="n">
        <v>6</v>
      </c>
      <c r="K68" s="34" t="n"/>
      <c r="L68" s="29" t="n"/>
    </row>
    <row r="69" ht="42" customHeight="1">
      <c r="A69" s="49" t="inlineStr">
        <is>
          <t>8.8</t>
        </is>
      </c>
      <c r="B69" s="50" t="inlineStr">
        <is>
          <t>Ph8</t>
        </is>
      </c>
      <c r="C69" s="51" t="inlineStr">
        <is>
          <t>Final Docs</t>
        </is>
      </c>
      <c r="D69" s="52" t="inlineStr">
        <is>
          <t>README.md run instructions, PROJECT_STATUS.md all 67 features done, verify all .md history files match shipped code</t>
        </is>
      </c>
      <c r="E69" s="50" t="inlineStr">
        <is>
          <t>Full Stack Dev</t>
        </is>
      </c>
      <c r="F69" s="70" t="n">
        <v>46200</v>
      </c>
      <c r="G69" s="70" t="n">
        <v>46201</v>
      </c>
      <c r="H69" s="54" t="inlineStr">
        <is>
          <t>Not Started</t>
        </is>
      </c>
      <c r="I69" s="55" t="inlineStr">
        <is>
          <t>Full Stack</t>
        </is>
      </c>
      <c r="J69" s="55" t="n">
        <v>4</v>
      </c>
      <c r="K69" s="55" t="n"/>
      <c r="L69" s="50" t="n"/>
    </row>
    <row r="71">
      <c r="A71" s="56" t="inlineStr">
        <is>
          <t>TOTALS -- Estimated Hours / Actual Hours</t>
        </is>
      </c>
      <c r="J71" s="57">
        <f>SUM(J3:J69)</f>
        <v/>
      </c>
      <c r="K71" s="57">
        <f>SUM(K3:K69)</f>
        <v/>
      </c>
    </row>
  </sheetData>
  <mergeCells count="2">
    <mergeCell ref="A1:L1"/>
    <mergeCell ref="A71:I7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5CF6"/>
    <outlinePr summaryBelow="1" summaryRight="1"/>
    <pageSetUpPr/>
  </sheetPr>
  <dimension ref="A1:J23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6" customWidth="1" min="3" max="3"/>
    <col width="40" customWidth="1" min="4" max="4"/>
    <col width="14" customWidth="1" min="5" max="5"/>
    <col width="15" customWidth="1" min="6" max="6"/>
    <col width="13" customWidth="1" min="7" max="7"/>
    <col width="14" customWidth="1" min="8" max="8"/>
    <col width="14" customWidth="1" min="9" max="9"/>
    <col width="30" customWidth="1" min="10" max="10"/>
  </cols>
  <sheetData>
    <row r="1" ht="30" customHeight="1">
      <c r="A1" s="58" t="inlineStr">
        <is>
          <t>TEAM SUGGESTIONS &amp; HIGHER-UP APPROVALS</t>
        </is>
      </c>
    </row>
    <row r="2" ht="18" customHeight="1">
      <c r="A2" s="59" t="inlineStr">
        <is>
          <t>Any team member can submit a suggestion below. Higher-ups review and mark Approved / Rejected with comments.</t>
        </is>
      </c>
    </row>
    <row r="3" ht="24" customHeight="1">
      <c r="A3" s="60" t="inlineStr">
        <is>
          <t>ID</t>
        </is>
      </c>
      <c r="B3" s="60" t="inlineStr">
        <is>
          <t>Phase Ref</t>
        </is>
      </c>
      <c r="C3" s="60" t="inlineStr">
        <is>
          <t>Submitted By</t>
        </is>
      </c>
      <c r="D3" s="60" t="inlineStr">
        <is>
          <t>Suggestion / Feature Request</t>
        </is>
      </c>
      <c r="E3" s="60" t="inlineStr">
        <is>
          <t>Impact Level</t>
        </is>
      </c>
      <c r="F3" s="60" t="inlineStr">
        <is>
          <t>Submitted Date</t>
        </is>
      </c>
      <c r="G3" s="60" t="inlineStr">
        <is>
          <t>Decision</t>
        </is>
      </c>
      <c r="H3" s="60" t="inlineStr">
        <is>
          <t>Approved By</t>
        </is>
      </c>
      <c r="I3" s="60" t="inlineStr">
        <is>
          <t>Decision Date</t>
        </is>
      </c>
      <c r="J3" s="60" t="inlineStr">
        <is>
          <t>Comments / Reason</t>
        </is>
      </c>
    </row>
    <row r="4">
      <c r="A4" s="61" t="inlineStr">
        <is>
          <t>S-001</t>
        </is>
      </c>
      <c r="B4" s="62" t="n"/>
      <c r="C4" s="62" t="n"/>
      <c r="D4" s="63" t="n"/>
      <c r="E4" s="62" t="n"/>
      <c r="F4" s="62" t="n"/>
      <c r="G4" s="62" t="n"/>
      <c r="H4" s="62" t="n"/>
      <c r="I4" s="62" t="n"/>
      <c r="J4" s="62" t="n"/>
    </row>
    <row r="5">
      <c r="A5" s="64" t="inlineStr">
        <is>
          <t>S-002</t>
        </is>
      </c>
      <c r="B5" s="17" t="n"/>
      <c r="C5" s="17" t="n"/>
      <c r="D5" s="14" t="n"/>
      <c r="E5" s="17" t="n"/>
      <c r="F5" s="17" t="n"/>
      <c r="G5" s="17" t="n"/>
      <c r="H5" s="17" t="n"/>
      <c r="I5" s="17" t="n"/>
      <c r="J5" s="17" t="n"/>
    </row>
    <row r="6">
      <c r="A6" s="61" t="inlineStr">
        <is>
          <t>S-003</t>
        </is>
      </c>
      <c r="B6" s="62" t="n"/>
      <c r="C6" s="62" t="n"/>
      <c r="D6" s="63" t="n"/>
      <c r="E6" s="62" t="n"/>
      <c r="F6" s="62" t="n"/>
      <c r="G6" s="62" t="n"/>
      <c r="H6" s="62" t="n"/>
      <c r="I6" s="62" t="n"/>
      <c r="J6" s="62" t="n"/>
    </row>
    <row r="7">
      <c r="A7" s="64" t="inlineStr">
        <is>
          <t>S-004</t>
        </is>
      </c>
      <c r="B7" s="17" t="n"/>
      <c r="C7" s="17" t="n"/>
      <c r="D7" s="14" t="n"/>
      <c r="E7" s="17" t="n"/>
      <c r="F7" s="17" t="n"/>
      <c r="G7" s="17" t="n"/>
      <c r="H7" s="17" t="n"/>
      <c r="I7" s="17" t="n"/>
      <c r="J7" s="17" t="n"/>
    </row>
    <row r="8">
      <c r="A8" s="61" t="inlineStr">
        <is>
          <t>S-005</t>
        </is>
      </c>
      <c r="B8" s="62" t="n"/>
      <c r="C8" s="62" t="n"/>
      <c r="D8" s="63" t="n"/>
      <c r="E8" s="62" t="n"/>
      <c r="F8" s="62" t="n"/>
      <c r="G8" s="62" t="n"/>
      <c r="H8" s="62" t="n"/>
      <c r="I8" s="62" t="n"/>
      <c r="J8" s="62" t="n"/>
    </row>
    <row r="9">
      <c r="A9" s="64" t="inlineStr">
        <is>
          <t>S-006</t>
        </is>
      </c>
      <c r="B9" s="17" t="n"/>
      <c r="C9" s="17" t="n"/>
      <c r="D9" s="14" t="n"/>
      <c r="E9" s="17" t="n"/>
      <c r="F9" s="17" t="n"/>
      <c r="G9" s="17" t="n"/>
      <c r="H9" s="17" t="n"/>
      <c r="I9" s="17" t="n"/>
      <c r="J9" s="17" t="n"/>
    </row>
    <row r="10">
      <c r="A10" s="61" t="inlineStr">
        <is>
          <t>S-007</t>
        </is>
      </c>
      <c r="B10" s="62" t="n"/>
      <c r="C10" s="62" t="n"/>
      <c r="D10" s="63" t="n"/>
      <c r="E10" s="62" t="n"/>
      <c r="F10" s="62" t="n"/>
      <c r="G10" s="62" t="n"/>
      <c r="H10" s="62" t="n"/>
      <c r="I10" s="62" t="n"/>
      <c r="J10" s="62" t="n"/>
    </row>
    <row r="11">
      <c r="A11" s="64" t="inlineStr">
        <is>
          <t>S-008</t>
        </is>
      </c>
      <c r="B11" s="17" t="n"/>
      <c r="C11" s="17" t="n"/>
      <c r="D11" s="14" t="n"/>
      <c r="E11" s="17" t="n"/>
      <c r="F11" s="17" t="n"/>
      <c r="G11" s="17" t="n"/>
      <c r="H11" s="17" t="n"/>
      <c r="I11" s="17" t="n"/>
      <c r="J11" s="17" t="n"/>
    </row>
    <row r="12">
      <c r="A12" s="61" t="inlineStr">
        <is>
          <t>S-009</t>
        </is>
      </c>
      <c r="B12" s="62" t="n"/>
      <c r="C12" s="62" t="n"/>
      <c r="D12" s="63" t="n"/>
      <c r="E12" s="62" t="n"/>
      <c r="F12" s="62" t="n"/>
      <c r="G12" s="62" t="n"/>
      <c r="H12" s="62" t="n"/>
      <c r="I12" s="62" t="n"/>
      <c r="J12" s="62" t="n"/>
    </row>
    <row r="13">
      <c r="A13" s="64" t="inlineStr">
        <is>
          <t>S-010</t>
        </is>
      </c>
      <c r="B13" s="17" t="n"/>
      <c r="C13" s="17" t="n"/>
      <c r="D13" s="14" t="n"/>
      <c r="E13" s="17" t="n"/>
      <c r="F13" s="17" t="n"/>
      <c r="G13" s="17" t="n"/>
      <c r="H13" s="17" t="n"/>
      <c r="I13" s="17" t="n"/>
      <c r="J13" s="17" t="n"/>
    </row>
    <row r="14">
      <c r="A14" s="61" t="inlineStr">
        <is>
          <t>S-011</t>
        </is>
      </c>
      <c r="B14" s="62" t="n"/>
      <c r="C14" s="62" t="n"/>
      <c r="D14" s="63" t="n"/>
      <c r="E14" s="62" t="n"/>
      <c r="F14" s="62" t="n"/>
      <c r="G14" s="62" t="n"/>
      <c r="H14" s="62" t="n"/>
      <c r="I14" s="62" t="n"/>
      <c r="J14" s="62" t="n"/>
    </row>
    <row r="15">
      <c r="A15" s="64" t="inlineStr">
        <is>
          <t>S-012</t>
        </is>
      </c>
      <c r="B15" s="17" t="n"/>
      <c r="C15" s="17" t="n"/>
      <c r="D15" s="14" t="n"/>
      <c r="E15" s="17" t="n"/>
      <c r="F15" s="17" t="n"/>
      <c r="G15" s="17" t="n"/>
      <c r="H15" s="17" t="n"/>
      <c r="I15" s="17" t="n"/>
      <c r="J15" s="17" t="n"/>
    </row>
    <row r="16">
      <c r="A16" s="61" t="inlineStr">
        <is>
          <t>S-013</t>
        </is>
      </c>
      <c r="B16" s="62" t="n"/>
      <c r="C16" s="62" t="n"/>
      <c r="D16" s="63" t="n"/>
      <c r="E16" s="62" t="n"/>
      <c r="F16" s="62" t="n"/>
      <c r="G16" s="62" t="n"/>
      <c r="H16" s="62" t="n"/>
      <c r="I16" s="62" t="n"/>
      <c r="J16" s="62" t="n"/>
    </row>
    <row r="17">
      <c r="A17" s="64" t="inlineStr">
        <is>
          <t>S-014</t>
        </is>
      </c>
      <c r="B17" s="17" t="n"/>
      <c r="C17" s="17" t="n"/>
      <c r="D17" s="14" t="n"/>
      <c r="E17" s="17" t="n"/>
      <c r="F17" s="17" t="n"/>
      <c r="G17" s="17" t="n"/>
      <c r="H17" s="17" t="n"/>
      <c r="I17" s="17" t="n"/>
      <c r="J17" s="17" t="n"/>
    </row>
    <row r="18">
      <c r="A18" s="61" t="inlineStr">
        <is>
          <t>S-015</t>
        </is>
      </c>
      <c r="B18" s="62" t="n"/>
      <c r="C18" s="62" t="n"/>
      <c r="D18" s="63" t="n"/>
      <c r="E18" s="62" t="n"/>
      <c r="F18" s="62" t="n"/>
      <c r="G18" s="62" t="n"/>
      <c r="H18" s="62" t="n"/>
      <c r="I18" s="62" t="n"/>
      <c r="J18" s="62" t="n"/>
    </row>
    <row r="19">
      <c r="A19" s="64" t="inlineStr">
        <is>
          <t>S-016</t>
        </is>
      </c>
      <c r="B19" s="17" t="n"/>
      <c r="C19" s="17" t="n"/>
      <c r="D19" s="14" t="n"/>
      <c r="E19" s="17" t="n"/>
      <c r="F19" s="17" t="n"/>
      <c r="G19" s="17" t="n"/>
      <c r="H19" s="17" t="n"/>
      <c r="I19" s="17" t="n"/>
      <c r="J19" s="17" t="n"/>
    </row>
    <row r="20">
      <c r="A20" s="61" t="inlineStr">
        <is>
          <t>S-017</t>
        </is>
      </c>
      <c r="B20" s="62" t="n"/>
      <c r="C20" s="62" t="n"/>
      <c r="D20" s="63" t="n"/>
      <c r="E20" s="62" t="n"/>
      <c r="F20" s="62" t="n"/>
      <c r="G20" s="62" t="n"/>
      <c r="H20" s="62" t="n"/>
      <c r="I20" s="62" t="n"/>
      <c r="J20" s="62" t="n"/>
    </row>
    <row r="21">
      <c r="A21" s="64" t="inlineStr">
        <is>
          <t>S-018</t>
        </is>
      </c>
      <c r="B21" s="17" t="n"/>
      <c r="C21" s="17" t="n"/>
      <c r="D21" s="14" t="n"/>
      <c r="E21" s="17" t="n"/>
      <c r="F21" s="17" t="n"/>
      <c r="G21" s="17" t="n"/>
      <c r="H21" s="17" t="n"/>
      <c r="I21" s="17" t="n"/>
      <c r="J21" s="17" t="n"/>
    </row>
    <row r="22">
      <c r="A22" s="61" t="inlineStr">
        <is>
          <t>S-019</t>
        </is>
      </c>
      <c r="B22" s="62" t="n"/>
      <c r="C22" s="62" t="n"/>
      <c r="D22" s="63" t="n"/>
      <c r="E22" s="62" t="n"/>
      <c r="F22" s="62" t="n"/>
      <c r="G22" s="62" t="n"/>
      <c r="H22" s="62" t="n"/>
      <c r="I22" s="62" t="n"/>
      <c r="J22" s="62" t="n"/>
    </row>
    <row r="23">
      <c r="A23" s="64" t="inlineStr">
        <is>
          <t>S-020</t>
        </is>
      </c>
      <c r="B23" s="17" t="n"/>
      <c r="C23" s="17" t="n"/>
      <c r="D23" s="14" t="n"/>
      <c r="E23" s="17" t="n"/>
      <c r="F23" s="17" t="n"/>
      <c r="G23" s="17" t="n"/>
      <c r="H23" s="17" t="n"/>
      <c r="I23" s="17" t="n"/>
      <c r="J23" s="17" t="n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2026-05-05T07:50:10Z</dcterms:created>
  <dcterms:modified xsi:type="dcterms:W3CDTF">2026-05-05T10:52:56Z</dcterms:modified>
</cp:coreProperties>
</file>